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宁海下枫槎村网站\"/>
    </mc:Choice>
  </mc:AlternateContent>
  <xr:revisionPtr revIDLastSave="0" documentId="13_ncr:1_{259A323F-A80E-490F-958D-159FE37642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圆谱自愿捐款及筹款" sheetId="6" r:id="rId1"/>
    <sheet name="外来宗亲助款" sheetId="5" r:id="rId2"/>
  </sheets>
  <definedNames>
    <definedName name="_xlnm._FilterDatabase" localSheetId="1" hidden="1">外来宗亲助款!$E$2:$E$133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8" i="6" l="1"/>
  <c r="F3" i="6"/>
  <c r="H3" i="6" s="1"/>
  <c r="F4" i="6"/>
  <c r="H4" i="6" s="1"/>
  <c r="F5" i="6"/>
  <c r="H5" i="6" s="1"/>
  <c r="F6" i="6"/>
  <c r="H6" i="6" s="1"/>
  <c r="F7" i="6"/>
  <c r="H7" i="6" s="1"/>
  <c r="F8" i="6"/>
  <c r="H8" i="6" s="1"/>
  <c r="F9" i="6"/>
  <c r="H9" i="6" s="1"/>
  <c r="F10" i="6"/>
  <c r="H10" i="6" s="1"/>
  <c r="F11" i="6"/>
  <c r="H11" i="6" s="1"/>
  <c r="F12" i="6"/>
  <c r="H12" i="6" s="1"/>
  <c r="F13" i="6"/>
  <c r="H13" i="6" s="1"/>
  <c r="F14" i="6"/>
  <c r="H14" i="6" s="1"/>
  <c r="F15" i="6"/>
  <c r="H15" i="6" s="1"/>
  <c r="F16" i="6"/>
  <c r="H16" i="6" s="1"/>
  <c r="F17" i="6"/>
  <c r="H17" i="6" s="1"/>
  <c r="F18" i="6"/>
  <c r="H18" i="6" s="1"/>
  <c r="F19" i="6"/>
  <c r="F20" i="6"/>
  <c r="F21" i="6"/>
  <c r="H21" i="6" s="1"/>
  <c r="F22" i="6"/>
  <c r="H22" i="6" s="1"/>
  <c r="F23" i="6"/>
  <c r="H23" i="6" s="1"/>
  <c r="F24" i="6"/>
  <c r="H24" i="6" s="1"/>
  <c r="F25" i="6"/>
  <c r="H25" i="6" s="1"/>
  <c r="F26" i="6"/>
  <c r="H26" i="6" s="1"/>
  <c r="F27" i="6"/>
  <c r="H27" i="6" s="1"/>
  <c r="F28" i="6"/>
  <c r="H28" i="6" s="1"/>
  <c r="F29" i="6"/>
  <c r="H29" i="6" s="1"/>
  <c r="F30" i="6"/>
  <c r="H30" i="6" s="1"/>
  <c r="F31" i="6"/>
  <c r="H31" i="6" s="1"/>
  <c r="F32" i="6"/>
  <c r="H32" i="6" s="1"/>
  <c r="F33" i="6"/>
  <c r="H33" i="6" s="1"/>
  <c r="F34" i="6"/>
  <c r="H34" i="6" s="1"/>
  <c r="F35" i="6"/>
  <c r="H35" i="6" s="1"/>
  <c r="F36" i="6"/>
  <c r="F37" i="6"/>
  <c r="F38" i="6"/>
  <c r="F39" i="6"/>
  <c r="F40" i="6"/>
  <c r="H40" i="6" s="1"/>
  <c r="F41" i="6"/>
  <c r="H41" i="6" s="1"/>
  <c r="F42" i="6"/>
  <c r="H42" i="6" s="1"/>
  <c r="F43" i="6"/>
  <c r="H43" i="6" s="1"/>
  <c r="F44" i="6"/>
  <c r="H44" i="6" s="1"/>
  <c r="F45" i="6"/>
  <c r="H45" i="6" s="1"/>
  <c r="F46" i="6"/>
  <c r="H46" i="6" s="1"/>
  <c r="F47" i="6"/>
  <c r="H47" i="6" s="1"/>
  <c r="F48" i="6"/>
  <c r="H48" i="6" s="1"/>
  <c r="F49" i="6"/>
  <c r="H49" i="6" s="1"/>
  <c r="F50" i="6"/>
  <c r="H50" i="6" s="1"/>
  <c r="F51" i="6"/>
  <c r="H51" i="6" s="1"/>
  <c r="F52" i="6"/>
  <c r="F53" i="6"/>
  <c r="H53" i="6" s="1"/>
  <c r="F54" i="6"/>
  <c r="H54" i="6" s="1"/>
  <c r="F55" i="6"/>
  <c r="H55" i="6" s="1"/>
  <c r="F56" i="6"/>
  <c r="F57" i="6"/>
  <c r="H57" i="6" s="1"/>
  <c r="F58" i="6"/>
  <c r="H58" i="6" s="1"/>
  <c r="F59" i="6"/>
  <c r="H59" i="6" s="1"/>
  <c r="F60" i="6"/>
  <c r="H60" i="6" s="1"/>
  <c r="F61" i="6"/>
  <c r="H61" i="6" s="1"/>
  <c r="F62" i="6"/>
  <c r="H62" i="6" s="1"/>
  <c r="F63" i="6"/>
  <c r="H63" i="6" s="1"/>
  <c r="F64" i="6"/>
  <c r="H64" i="6" s="1"/>
  <c r="F65" i="6"/>
  <c r="H65" i="6" s="1"/>
  <c r="F66" i="6"/>
  <c r="H66" i="6" s="1"/>
  <c r="F67" i="6"/>
  <c r="H67" i="6" s="1"/>
  <c r="F68" i="6"/>
  <c r="H68" i="6" s="1"/>
  <c r="F69" i="6"/>
  <c r="F70" i="6"/>
  <c r="H70" i="6" s="1"/>
  <c r="F71" i="6"/>
  <c r="H71" i="6" s="1"/>
  <c r="F72" i="6"/>
  <c r="H72" i="6" s="1"/>
  <c r="F73" i="6"/>
  <c r="H73" i="6" s="1"/>
  <c r="F74" i="6"/>
  <c r="H74" i="6" s="1"/>
  <c r="F75" i="6"/>
  <c r="H75" i="6" s="1"/>
  <c r="F76" i="6"/>
  <c r="H76" i="6" s="1"/>
  <c r="F77" i="6"/>
  <c r="H77" i="6" s="1"/>
  <c r="F78" i="6"/>
  <c r="H78" i="6" s="1"/>
  <c r="F79" i="6"/>
  <c r="H79" i="6" s="1"/>
  <c r="F80" i="6"/>
  <c r="F81" i="6"/>
  <c r="F82" i="6"/>
  <c r="H82" i="6" s="1"/>
  <c r="F83" i="6"/>
  <c r="F84" i="6"/>
  <c r="F85" i="6"/>
  <c r="F86" i="6"/>
  <c r="H86" i="6" s="1"/>
  <c r="F87" i="6"/>
  <c r="H87" i="6" s="1"/>
  <c r="F88" i="6"/>
  <c r="H88" i="6" s="1"/>
  <c r="F89" i="6"/>
  <c r="H89" i="6" s="1"/>
  <c r="F90" i="6"/>
  <c r="H90" i="6" s="1"/>
  <c r="F91" i="6"/>
  <c r="H91" i="6" s="1"/>
  <c r="F92" i="6"/>
  <c r="H92" i="6" s="1"/>
  <c r="F93" i="6"/>
  <c r="H93" i="6" s="1"/>
  <c r="F94" i="6"/>
  <c r="H94" i="6" s="1"/>
  <c r="F95" i="6"/>
  <c r="H95" i="6" s="1"/>
  <c r="F96" i="6"/>
  <c r="H96" i="6" s="1"/>
  <c r="F97" i="6"/>
  <c r="H97" i="6" s="1"/>
  <c r="F98" i="6"/>
  <c r="H98" i="6" s="1"/>
  <c r="F99" i="6"/>
  <c r="H99" i="6" s="1"/>
  <c r="F100" i="6"/>
  <c r="F101" i="6"/>
  <c r="F102" i="6"/>
  <c r="H102" i="6" s="1"/>
  <c r="F103" i="6"/>
  <c r="H103" i="6" s="1"/>
  <c r="F104" i="6"/>
  <c r="H104" i="6" s="1"/>
  <c r="F105" i="6"/>
  <c r="H105" i="6" s="1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H111" i="6" s="1"/>
  <c r="F112" i="6"/>
  <c r="H112" i="6" s="1"/>
  <c r="F113" i="6"/>
  <c r="H113" i="6" s="1"/>
  <c r="F114" i="6"/>
  <c r="H114" i="6" s="1"/>
  <c r="F115" i="6"/>
  <c r="H115" i="6" s="1"/>
  <c r="F116" i="6"/>
  <c r="F117" i="6"/>
  <c r="H117" i="6" s="1"/>
  <c r="F118" i="6"/>
  <c r="H118" i="6" s="1"/>
  <c r="F119" i="6"/>
  <c r="H119" i="6" s="1"/>
  <c r="F120" i="6"/>
  <c r="H120" i="6" s="1"/>
  <c r="F121" i="6"/>
  <c r="H121" i="6" s="1"/>
  <c r="F122" i="6"/>
  <c r="H122" i="6" s="1"/>
  <c r="F123" i="6"/>
  <c r="H123" i="6" s="1"/>
  <c r="F124" i="6"/>
  <c r="H124" i="6" s="1"/>
  <c r="F125" i="6"/>
  <c r="H125" i="6" s="1"/>
  <c r="F126" i="6"/>
  <c r="H126" i="6" s="1"/>
  <c r="F127" i="6"/>
  <c r="H127" i="6" s="1"/>
  <c r="F128" i="6"/>
  <c r="H128" i="6" s="1"/>
  <c r="F129" i="6"/>
  <c r="H129" i="6" s="1"/>
  <c r="F130" i="6"/>
  <c r="H130" i="6" s="1"/>
  <c r="F131" i="6"/>
  <c r="H131" i="6" s="1"/>
  <c r="F132" i="6"/>
  <c r="F133" i="6"/>
  <c r="F134" i="6"/>
  <c r="F135" i="6"/>
  <c r="H135" i="6" s="1"/>
  <c r="F136" i="6"/>
  <c r="H136" i="6" s="1"/>
  <c r="F137" i="6"/>
  <c r="H137" i="6" s="1"/>
  <c r="F138" i="6"/>
  <c r="H138" i="6" s="1"/>
  <c r="F139" i="6"/>
  <c r="H139" i="6" s="1"/>
  <c r="F140" i="6"/>
  <c r="H140" i="6" s="1"/>
  <c r="F141" i="6"/>
  <c r="H141" i="6" s="1"/>
  <c r="F142" i="6"/>
  <c r="H142" i="6" s="1"/>
  <c r="F143" i="6"/>
  <c r="H143" i="6" s="1"/>
  <c r="F144" i="6"/>
  <c r="H144" i="6" s="1"/>
  <c r="D145" i="6"/>
  <c r="E145" i="6"/>
  <c r="H19" i="6"/>
  <c r="H20" i="6"/>
  <c r="H36" i="6"/>
  <c r="H37" i="6"/>
  <c r="H38" i="6"/>
  <c r="H39" i="6"/>
  <c r="H52" i="6"/>
  <c r="H56" i="6"/>
  <c r="H84" i="6"/>
  <c r="H100" i="6"/>
  <c r="H116" i="6"/>
  <c r="H132" i="6"/>
  <c r="H69" i="6"/>
  <c r="H83" i="6"/>
  <c r="H85" i="6"/>
  <c r="H101" i="6"/>
  <c r="H133" i="6"/>
  <c r="H134" i="6"/>
  <c r="C145" i="6"/>
  <c r="G146" i="5"/>
  <c r="K145" i="6"/>
  <c r="C149" i="5" l="1"/>
  <c r="H145" i="6"/>
</calcChain>
</file>

<file path=xl/sharedStrings.xml><?xml version="1.0" encoding="utf-8"?>
<sst xmlns="http://schemas.openxmlformats.org/spreadsheetml/2006/main" count="536" uniqueCount="443">
  <si>
    <t>族人筹款名单</t>
  </si>
  <si>
    <t>族人捐款名单</t>
  </si>
  <si>
    <t>序号</t>
  </si>
  <si>
    <t>户主</t>
  </si>
  <si>
    <t>捐款金额</t>
  </si>
  <si>
    <t>备注</t>
  </si>
  <si>
    <t>家庭人数</t>
  </si>
  <si>
    <t>男</t>
  </si>
  <si>
    <t>女</t>
  </si>
  <si>
    <t>族人助款数额</t>
  </si>
  <si>
    <t>世忠</t>
  </si>
  <si>
    <t>建杰</t>
  </si>
  <si>
    <t>伟国</t>
  </si>
  <si>
    <t>昌苗</t>
  </si>
  <si>
    <t>行龙</t>
  </si>
  <si>
    <t>中良</t>
  </si>
  <si>
    <t>伟明</t>
  </si>
  <si>
    <t>昌夫</t>
  </si>
  <si>
    <t>伟中</t>
  </si>
  <si>
    <t>中达</t>
  </si>
  <si>
    <t>世福</t>
  </si>
  <si>
    <t>政波</t>
  </si>
  <si>
    <t>云国</t>
  </si>
  <si>
    <t>行平</t>
  </si>
  <si>
    <t>建军</t>
  </si>
  <si>
    <t>绍兴</t>
  </si>
  <si>
    <t>海港</t>
  </si>
  <si>
    <t>会福</t>
  </si>
  <si>
    <t>兴隆</t>
  </si>
  <si>
    <t>文军</t>
  </si>
  <si>
    <t>平彪</t>
  </si>
  <si>
    <t>世永</t>
  </si>
  <si>
    <t>昀滔</t>
  </si>
  <si>
    <t>文军母</t>
  </si>
  <si>
    <t>世能</t>
  </si>
  <si>
    <t>建省</t>
  </si>
  <si>
    <t>敏奇</t>
  </si>
  <si>
    <t>永军</t>
  </si>
  <si>
    <t>行尉</t>
  </si>
  <si>
    <t>中杰</t>
  </si>
  <si>
    <t>绍平</t>
  </si>
  <si>
    <t>世福母</t>
  </si>
  <si>
    <t>建国</t>
  </si>
  <si>
    <t>小康</t>
  </si>
  <si>
    <t>绍通</t>
  </si>
  <si>
    <t>世夫</t>
  </si>
  <si>
    <t>世彩</t>
  </si>
  <si>
    <t>海峰</t>
  </si>
  <si>
    <t>高飞</t>
  </si>
  <si>
    <t>行海</t>
  </si>
  <si>
    <t>绍云</t>
  </si>
  <si>
    <t>世郎</t>
  </si>
  <si>
    <t>京翰</t>
  </si>
  <si>
    <t>建禄</t>
  </si>
  <si>
    <t>世伟</t>
  </si>
  <si>
    <t>海飞</t>
  </si>
  <si>
    <t>行安</t>
  </si>
  <si>
    <t>建品</t>
  </si>
  <si>
    <t>剑峰</t>
  </si>
  <si>
    <t>丁迁</t>
  </si>
  <si>
    <t>建波</t>
  </si>
  <si>
    <t>世省</t>
  </si>
  <si>
    <t>孝满</t>
  </si>
  <si>
    <t>泽彬</t>
  </si>
  <si>
    <t>华辉</t>
  </si>
  <si>
    <t>晓波</t>
  </si>
  <si>
    <t>世威</t>
  </si>
  <si>
    <t>盛杰</t>
  </si>
  <si>
    <t>敏辉</t>
  </si>
  <si>
    <t>益品</t>
  </si>
  <si>
    <t>世曹</t>
  </si>
  <si>
    <t>建芬</t>
  </si>
  <si>
    <t>国芬</t>
  </si>
  <si>
    <t>法永</t>
  </si>
  <si>
    <t>孝弟</t>
  </si>
  <si>
    <t>方国含母</t>
  </si>
  <si>
    <t>青文</t>
  </si>
  <si>
    <t>孝强</t>
  </si>
  <si>
    <t>世罗</t>
  </si>
  <si>
    <t>洁武</t>
  </si>
  <si>
    <t>孝国</t>
  </si>
  <si>
    <t>孝建</t>
  </si>
  <si>
    <t>世帮</t>
  </si>
  <si>
    <t>吉江</t>
  </si>
  <si>
    <t>彩国</t>
  </si>
  <si>
    <t>彩忠</t>
  </si>
  <si>
    <t>世光</t>
  </si>
  <si>
    <t>合计</t>
  </si>
  <si>
    <t>世标</t>
  </si>
  <si>
    <t>累计</t>
  </si>
  <si>
    <t>世田</t>
  </si>
  <si>
    <t>世吉</t>
  </si>
  <si>
    <t>绍苗</t>
  </si>
  <si>
    <t>行勇</t>
  </si>
  <si>
    <t>行善</t>
  </si>
  <si>
    <t>行定</t>
  </si>
  <si>
    <t>德成</t>
  </si>
  <si>
    <t>行丁</t>
  </si>
  <si>
    <t>德武</t>
  </si>
  <si>
    <t>德会</t>
  </si>
  <si>
    <t>昀韬</t>
  </si>
  <si>
    <t>行先</t>
  </si>
  <si>
    <t>敏琦</t>
  </si>
  <si>
    <t>行云</t>
  </si>
  <si>
    <t>仁安</t>
  </si>
  <si>
    <t>必仙</t>
  </si>
  <si>
    <t>建府</t>
  </si>
  <si>
    <t>建奇</t>
  </si>
  <si>
    <t>世安</t>
  </si>
  <si>
    <t>世和</t>
  </si>
  <si>
    <t>中康</t>
  </si>
  <si>
    <t>云夫</t>
  </si>
  <si>
    <t>聪林</t>
  </si>
  <si>
    <t>王小容</t>
  </si>
  <si>
    <t>云道</t>
  </si>
  <si>
    <t>湖北印谱</t>
  </si>
  <si>
    <t>孝达</t>
  </si>
  <si>
    <t>敏杰</t>
  </si>
  <si>
    <t>坚辉</t>
  </si>
  <si>
    <t>敏华</t>
  </si>
  <si>
    <t>坚华</t>
  </si>
  <si>
    <t>碧祥</t>
  </si>
  <si>
    <t>会兴</t>
  </si>
  <si>
    <t>万权</t>
  </si>
  <si>
    <t>孝松</t>
  </si>
  <si>
    <t>忠达</t>
  </si>
  <si>
    <t>垚达</t>
  </si>
  <si>
    <t>孝杰</t>
  </si>
  <si>
    <t>云苗</t>
  </si>
  <si>
    <t>新贤</t>
  </si>
  <si>
    <t>世国</t>
  </si>
  <si>
    <t>世国侄子</t>
  </si>
  <si>
    <t>绍夫</t>
  </si>
  <si>
    <t>海斌小斌</t>
  </si>
  <si>
    <t>世高</t>
  </si>
  <si>
    <t>世华</t>
  </si>
  <si>
    <t>世义</t>
  </si>
  <si>
    <t>世方</t>
  </si>
  <si>
    <t>世科</t>
  </si>
  <si>
    <t>世统</t>
  </si>
  <si>
    <t>世余含母</t>
  </si>
  <si>
    <t>世富</t>
  </si>
  <si>
    <t>谢平</t>
  </si>
  <si>
    <t>华标含母</t>
  </si>
  <si>
    <t>福苗</t>
  </si>
  <si>
    <t>世常</t>
  </si>
  <si>
    <t>通宁</t>
  </si>
  <si>
    <t>勇伟含母</t>
  </si>
  <si>
    <t>德中</t>
  </si>
  <si>
    <t>德华含母</t>
  </si>
  <si>
    <t>谢兵</t>
  </si>
  <si>
    <t>孝火</t>
  </si>
  <si>
    <t>吉剑</t>
  </si>
  <si>
    <t>伟剑</t>
  </si>
  <si>
    <t>孝中</t>
  </si>
  <si>
    <t>伟东</t>
  </si>
  <si>
    <t>建党</t>
  </si>
  <si>
    <t>有强</t>
  </si>
  <si>
    <t>兵权</t>
  </si>
  <si>
    <t>品权</t>
  </si>
  <si>
    <t>会娟</t>
  </si>
  <si>
    <t>会福母</t>
  </si>
  <si>
    <t>有通</t>
  </si>
  <si>
    <t>有中</t>
  </si>
  <si>
    <t>栋考</t>
  </si>
  <si>
    <t>胜长胜仁</t>
  </si>
  <si>
    <t>胜光</t>
  </si>
  <si>
    <t>武斌</t>
  </si>
  <si>
    <t>胜校</t>
  </si>
  <si>
    <t>行连</t>
  </si>
  <si>
    <t>孝总</t>
  </si>
  <si>
    <t>孝满含母</t>
  </si>
  <si>
    <t>行青</t>
  </si>
  <si>
    <t>亚达</t>
  </si>
  <si>
    <t>吉武</t>
  </si>
  <si>
    <t>美芬</t>
  </si>
  <si>
    <t>行荣</t>
  </si>
  <si>
    <t>行东</t>
  </si>
  <si>
    <t>德宝</t>
  </si>
  <si>
    <t>行权</t>
  </si>
  <si>
    <t>玉华</t>
  </si>
  <si>
    <t>行建</t>
  </si>
  <si>
    <t>世振</t>
  </si>
  <si>
    <t>总累计</t>
  </si>
  <si>
    <t>祝贺单位名称</t>
  </si>
  <si>
    <t>金额</t>
  </si>
  <si>
    <t>茶芬</t>
  </si>
  <si>
    <t>行龙妹</t>
  </si>
  <si>
    <t>宁波市东山文化研究会</t>
  </si>
  <si>
    <t>谢冰</t>
  </si>
  <si>
    <t>绍兴女儿</t>
  </si>
  <si>
    <t>三门下谢</t>
  </si>
  <si>
    <t>苗芬</t>
  </si>
  <si>
    <t>有通妹</t>
  </si>
  <si>
    <t>天台榧树</t>
  </si>
  <si>
    <t>聪芬</t>
  </si>
  <si>
    <t>云国侄女</t>
  </si>
  <si>
    <t>桃源钱岙</t>
  </si>
  <si>
    <t>昌炉</t>
  </si>
  <si>
    <t>港头</t>
  </si>
  <si>
    <t>许家山小奄</t>
  </si>
  <si>
    <t>兴昌</t>
  </si>
  <si>
    <t>长街谢家</t>
  </si>
  <si>
    <t>根新</t>
  </si>
  <si>
    <t>大陈</t>
  </si>
  <si>
    <t>雪坡谢家</t>
  </si>
  <si>
    <t>行永</t>
  </si>
  <si>
    <t>水车</t>
  </si>
  <si>
    <t>力洋下弯</t>
  </si>
  <si>
    <t>万荣</t>
  </si>
  <si>
    <t>下湾</t>
  </si>
  <si>
    <t>雪坡海头</t>
  </si>
  <si>
    <t>幸福</t>
  </si>
  <si>
    <t>金家山</t>
  </si>
  <si>
    <t>富强</t>
  </si>
  <si>
    <t>古渡谢家</t>
  </si>
  <si>
    <t>会芬</t>
  </si>
  <si>
    <t>行龙姐</t>
  </si>
  <si>
    <t>荨芝岙谢家</t>
  </si>
  <si>
    <t>根木</t>
  </si>
  <si>
    <t>梅林杏树谢家</t>
  </si>
  <si>
    <t>行福</t>
  </si>
  <si>
    <t>江西</t>
  </si>
  <si>
    <t>谢媚</t>
  </si>
  <si>
    <t>绍夫女儿</t>
  </si>
  <si>
    <t>雪亚</t>
  </si>
  <si>
    <t>绍云女儿</t>
  </si>
  <si>
    <t>兴平</t>
  </si>
  <si>
    <t>湖北</t>
  </si>
  <si>
    <t>亚萍</t>
  </si>
  <si>
    <t>昌夫女儿</t>
  </si>
  <si>
    <t>忠芬</t>
  </si>
  <si>
    <t>世忠妹</t>
  </si>
  <si>
    <t>华芬</t>
  </si>
  <si>
    <t>再芬</t>
  </si>
  <si>
    <t>俊晔</t>
  </si>
  <si>
    <t>世忠女儿</t>
  </si>
  <si>
    <t>亚芬</t>
  </si>
  <si>
    <t>谢瑞</t>
  </si>
  <si>
    <t>高飞女儿</t>
  </si>
  <si>
    <t>秋霞</t>
  </si>
  <si>
    <t>建品妹</t>
  </si>
  <si>
    <t>珍莲</t>
  </si>
  <si>
    <t>青文妹</t>
  </si>
  <si>
    <t>丁莲</t>
  </si>
  <si>
    <t>丁迁妹</t>
  </si>
  <si>
    <t>兰芬</t>
  </si>
  <si>
    <t>小娟</t>
  </si>
  <si>
    <t>云国姐</t>
  </si>
  <si>
    <t>会东</t>
  </si>
  <si>
    <t>谢和春</t>
  </si>
  <si>
    <t>竹林</t>
  </si>
  <si>
    <t>谢林芳</t>
  </si>
  <si>
    <t>宁波</t>
  </si>
  <si>
    <t>谢军</t>
  </si>
  <si>
    <t>云芬</t>
  </si>
  <si>
    <t>会兴姐</t>
  </si>
  <si>
    <t>海红</t>
  </si>
  <si>
    <t>海飞妹</t>
  </si>
  <si>
    <t>晨容</t>
  </si>
  <si>
    <t>世福女儿</t>
  </si>
  <si>
    <t>密萍</t>
  </si>
  <si>
    <t>世福姐妹</t>
  </si>
  <si>
    <t>密娟</t>
  </si>
  <si>
    <t>鲜娜</t>
  </si>
  <si>
    <t>行永女儿</t>
  </si>
  <si>
    <t>妮娜</t>
  </si>
  <si>
    <t>有通侄女</t>
  </si>
  <si>
    <t>晓娜</t>
  </si>
  <si>
    <t>春萍</t>
  </si>
  <si>
    <t>昌苗女儿</t>
  </si>
  <si>
    <t>剑英</t>
  </si>
  <si>
    <t>孝满姐妹</t>
  </si>
  <si>
    <t>月剑</t>
  </si>
  <si>
    <t>海霞</t>
  </si>
  <si>
    <t>世安女儿</t>
  </si>
  <si>
    <t>春梯</t>
  </si>
  <si>
    <t>莎莎</t>
  </si>
  <si>
    <t>行平女儿</t>
  </si>
  <si>
    <t>巧莎</t>
  </si>
  <si>
    <t>沙沙</t>
  </si>
  <si>
    <t>行安女儿</t>
  </si>
  <si>
    <t>咪娜</t>
  </si>
  <si>
    <t>有通女儿</t>
  </si>
  <si>
    <t>密青</t>
  </si>
  <si>
    <t>法妹</t>
  </si>
  <si>
    <t>有忠姑妈</t>
  </si>
  <si>
    <t>和香</t>
  </si>
  <si>
    <t>行龙姑妈</t>
  </si>
  <si>
    <t>菊芬</t>
  </si>
  <si>
    <t>小娟女儿</t>
  </si>
  <si>
    <t>午芬</t>
  </si>
  <si>
    <t>小素</t>
  </si>
  <si>
    <t>青文姑妈</t>
  </si>
  <si>
    <t>彩素</t>
  </si>
  <si>
    <t>玉翠</t>
  </si>
  <si>
    <t>玉英</t>
  </si>
  <si>
    <t>玉珠</t>
  </si>
  <si>
    <t>华丽</t>
  </si>
  <si>
    <t>孝杰姐</t>
  </si>
  <si>
    <t>华娟</t>
  </si>
  <si>
    <t>孝省姐</t>
  </si>
  <si>
    <t>娟娣</t>
  </si>
  <si>
    <t>孝省妹</t>
  </si>
  <si>
    <t>娟珍</t>
  </si>
  <si>
    <t>亚珍</t>
  </si>
  <si>
    <t>五亚</t>
  </si>
  <si>
    <t>群亚</t>
  </si>
  <si>
    <t>谢巧</t>
  </si>
  <si>
    <t>孝国女儿</t>
  </si>
  <si>
    <t>彩芬</t>
  </si>
  <si>
    <t>世彩妹</t>
  </si>
  <si>
    <t>叶芬</t>
  </si>
  <si>
    <t>密芬</t>
  </si>
  <si>
    <t>孝福</t>
  </si>
  <si>
    <t>大路李</t>
  </si>
  <si>
    <t>谢玲玲</t>
  </si>
  <si>
    <t>通宁女儿</t>
  </si>
  <si>
    <t>谢美凤</t>
  </si>
  <si>
    <t>本村</t>
  </si>
  <si>
    <t>彩娥</t>
  </si>
  <si>
    <t>世高姐</t>
  </si>
  <si>
    <t>文兰</t>
  </si>
  <si>
    <t>永军姐</t>
  </si>
  <si>
    <t>文翠</t>
  </si>
  <si>
    <t>慧娟</t>
  </si>
  <si>
    <t>剑波姐妹</t>
  </si>
  <si>
    <t>慧萍</t>
  </si>
  <si>
    <t>慧亚</t>
  </si>
  <si>
    <t>剑灵</t>
  </si>
  <si>
    <t>丽丽</t>
  </si>
  <si>
    <t>孝中女儿</t>
  </si>
  <si>
    <t>伟秋</t>
  </si>
  <si>
    <t>会福姐妹</t>
  </si>
  <si>
    <t>伟丽</t>
  </si>
  <si>
    <t>翠源</t>
  </si>
  <si>
    <t>世永姐</t>
  </si>
  <si>
    <t>娅聪</t>
  </si>
  <si>
    <t>伟国妹</t>
  </si>
  <si>
    <t>伟娅</t>
  </si>
  <si>
    <t>素娥</t>
  </si>
  <si>
    <t>行永妹</t>
  </si>
  <si>
    <t>素仙</t>
  </si>
  <si>
    <t>开凤</t>
  </si>
  <si>
    <t>世帮姐</t>
  </si>
  <si>
    <t>开芬</t>
  </si>
  <si>
    <t>世帮妹</t>
  </si>
  <si>
    <t>冬芬</t>
  </si>
  <si>
    <t>月兰</t>
  </si>
  <si>
    <t>世能姐</t>
  </si>
  <si>
    <t>木兰</t>
  </si>
  <si>
    <t>兰芳</t>
  </si>
  <si>
    <t>苗莲</t>
  </si>
  <si>
    <t>法永妹</t>
  </si>
  <si>
    <t>苗娟</t>
  </si>
  <si>
    <t>五娟</t>
  </si>
  <si>
    <t>菲菲</t>
  </si>
  <si>
    <t>世方女儿</t>
  </si>
  <si>
    <t>素华</t>
  </si>
  <si>
    <t>谢平妹</t>
  </si>
  <si>
    <t>爱莲</t>
  </si>
  <si>
    <t>绍苗妹</t>
  </si>
  <si>
    <t>美根</t>
  </si>
  <si>
    <t>绍夫妹</t>
  </si>
  <si>
    <t>世凤</t>
  </si>
  <si>
    <t>世郎妹</t>
  </si>
  <si>
    <t>建娟</t>
  </si>
  <si>
    <t>坚华妹</t>
  </si>
  <si>
    <t>丽娜</t>
  </si>
  <si>
    <t>行定女儿</t>
  </si>
  <si>
    <t>彩姣</t>
  </si>
  <si>
    <t>行先姐妹</t>
  </si>
  <si>
    <t>美姣</t>
  </si>
  <si>
    <t>美春</t>
  </si>
  <si>
    <t>爱姣</t>
  </si>
  <si>
    <t>彩平</t>
  </si>
  <si>
    <t>亚芳</t>
  </si>
  <si>
    <t>德中妹</t>
  </si>
  <si>
    <t>爱萍</t>
  </si>
  <si>
    <t>行平妹</t>
  </si>
  <si>
    <t>梅芬</t>
  </si>
  <si>
    <t>会胜姐妹</t>
  </si>
  <si>
    <t>金芬</t>
  </si>
  <si>
    <t>会兴妹</t>
  </si>
  <si>
    <t>贤妹</t>
  </si>
  <si>
    <t>世安姐</t>
  </si>
  <si>
    <t>苏娟</t>
  </si>
  <si>
    <t>忠达妹</t>
  </si>
  <si>
    <t>雨欣</t>
  </si>
  <si>
    <t>云道女儿</t>
  </si>
  <si>
    <t>超敏</t>
  </si>
  <si>
    <t>根娟女儿</t>
  </si>
  <si>
    <t>谢娜</t>
  </si>
  <si>
    <t>吉江女儿</t>
  </si>
  <si>
    <t>千娣</t>
  </si>
  <si>
    <t>兴隆姐</t>
  </si>
  <si>
    <t>姣娣</t>
  </si>
  <si>
    <t>宣妹</t>
  </si>
  <si>
    <t>绍兴姐</t>
  </si>
  <si>
    <t>大爱</t>
  </si>
  <si>
    <t>绍苗姐</t>
  </si>
  <si>
    <t>小爱</t>
  </si>
  <si>
    <t>亚群</t>
  </si>
  <si>
    <t>行善女儿</t>
  </si>
  <si>
    <t>宝平</t>
  </si>
  <si>
    <t>彩花女儿</t>
  </si>
  <si>
    <t>亚娟</t>
  </si>
  <si>
    <t>亚达妹</t>
  </si>
  <si>
    <t>月娟</t>
  </si>
  <si>
    <t>群娜</t>
  </si>
  <si>
    <t>行先女儿</t>
  </si>
  <si>
    <t>芳娟</t>
  </si>
  <si>
    <t>方国姐妹</t>
  </si>
  <si>
    <t>国娟</t>
  </si>
  <si>
    <t>武鸯</t>
  </si>
  <si>
    <t>胜长女儿</t>
  </si>
  <si>
    <t>武亚</t>
  </si>
  <si>
    <t>海丽</t>
  </si>
  <si>
    <t>世光女儿</t>
  </si>
  <si>
    <t>苏玲</t>
  </si>
  <si>
    <t>伟兴女儿</t>
  </si>
  <si>
    <t>佩玲</t>
  </si>
  <si>
    <t>月娥</t>
  </si>
  <si>
    <t>行云姐</t>
  </si>
  <si>
    <t>春芬</t>
  </si>
  <si>
    <t>行云姑妈</t>
  </si>
  <si>
    <t>莲芳</t>
  </si>
  <si>
    <t>小康妹</t>
  </si>
  <si>
    <t>月莲</t>
  </si>
  <si>
    <t>行东姐妹</t>
  </si>
  <si>
    <t>月葵</t>
  </si>
  <si>
    <t>安定</t>
  </si>
  <si>
    <t>英娣</t>
  </si>
  <si>
    <t>外来总收入</t>
  </si>
  <si>
    <t>筹款金额</t>
    <phoneticPr fontId="2" type="noConversion"/>
  </si>
  <si>
    <t>外来宗亲助款名单</t>
    <phoneticPr fontId="2" type="noConversion"/>
  </si>
  <si>
    <t>社会各界（宗族）助款名单</t>
    <phoneticPr fontId="2" type="noConversion"/>
  </si>
  <si>
    <t>妙雲茶场老板葛小芬</t>
    <phoneticPr fontId="2" type="noConversion"/>
  </si>
  <si>
    <t>意中模塑埰勇</t>
    <phoneticPr fontId="2" type="noConversion"/>
  </si>
  <si>
    <t>华优金属王全国</t>
    <phoneticPr fontId="2" type="noConversion"/>
  </si>
  <si>
    <t>58000/匾额一块对联</t>
    <phoneticPr fontId="2" type="noConversion"/>
  </si>
  <si>
    <t>匾额一块字画ー幅</t>
    <phoneticPr fontId="2" type="noConversion"/>
  </si>
  <si>
    <t>10000/匾额一块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</si>
</sst>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name val="宋体"/>
      <charset val="134"/>
    </font>
    <font>
      <sz val="12"/>
      <color rgb="FFFF0000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2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secondRowStripe" dxfId="22"/>
      <tableStyleElement type="firstColumnStripe" dxfId="21"/>
      <tableStyleElement type="secondColumnStripe" dxfId="20"/>
    </tableStyle>
    <tableStyle name="TableStylePreset8_Accent1 1" pivot="0" count="7" xr9:uid="{EFE9B4F7-2B3B-411E-B948-E01C778168FA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tabSelected="1" workbookViewId="0">
      <selection activeCell="Q5" sqref="Q3:Q5"/>
    </sheetView>
  </sheetViews>
  <sheetFormatPr defaultColWidth="9" defaultRowHeight="22.05" customHeight="1" x14ac:dyDescent="0.25"/>
  <cols>
    <col min="1" max="1" width="9" style="2"/>
    <col min="2" max="2" width="13.19921875" style="7" customWidth="1"/>
    <col min="3" max="3" width="9" style="2" hidden="1" customWidth="1"/>
    <col min="4" max="4" width="19.19921875" style="2" hidden="1" customWidth="1"/>
    <col min="5" max="7" width="16.5" style="2" hidden="1" customWidth="1"/>
    <col min="8" max="8" width="16.5" style="2" customWidth="1"/>
    <col min="9" max="9" width="9" style="2"/>
    <col min="10" max="10" width="12.69921875" style="2" customWidth="1"/>
    <col min="11" max="11" width="14" style="2" customWidth="1"/>
    <col min="12" max="13" width="9" style="2"/>
    <col min="14" max="14" width="15.796875" style="2" customWidth="1"/>
    <col min="15" max="15" width="9" style="2"/>
    <col min="16" max="16" width="20.19921875" style="2" customWidth="1"/>
    <col min="17" max="17" width="27.69921875" style="2" customWidth="1"/>
    <col min="18" max="16384" width="9" style="2"/>
  </cols>
  <sheetData>
    <row r="1" spans="1:17" ht="30" customHeight="1" x14ac:dyDescent="0.25">
      <c r="A1" s="15" t="s">
        <v>0</v>
      </c>
      <c r="B1" s="16"/>
      <c r="C1" s="15"/>
      <c r="D1" s="15"/>
      <c r="E1" s="15"/>
      <c r="F1" s="15"/>
      <c r="G1" s="15"/>
      <c r="H1" s="15"/>
      <c r="I1" s="17" t="s">
        <v>1</v>
      </c>
      <c r="J1" s="18"/>
      <c r="K1" s="19"/>
      <c r="L1" s="23" t="s">
        <v>435</v>
      </c>
      <c r="M1" s="15"/>
      <c r="N1" s="15"/>
      <c r="O1" s="15"/>
      <c r="P1" s="22" t="s">
        <v>436</v>
      </c>
      <c r="Q1" s="21"/>
    </row>
    <row r="2" spans="1:17" ht="22.05" customHeight="1" x14ac:dyDescent="0.25">
      <c r="A2" s="3" t="s">
        <v>2</v>
      </c>
      <c r="B2" s="8" t="s">
        <v>3</v>
      </c>
      <c r="C2" s="3" t="s">
        <v>6</v>
      </c>
      <c r="D2" s="3" t="s">
        <v>7</v>
      </c>
      <c r="E2" s="3" t="s">
        <v>8</v>
      </c>
      <c r="F2" s="3"/>
      <c r="G2" s="3"/>
      <c r="H2" s="20" t="s">
        <v>434</v>
      </c>
      <c r="I2" s="12" t="s">
        <v>2</v>
      </c>
      <c r="J2" s="13" t="s">
        <v>3</v>
      </c>
      <c r="K2" s="13" t="s">
        <v>4</v>
      </c>
      <c r="L2" s="3" t="s">
        <v>2</v>
      </c>
      <c r="M2" s="3" t="s">
        <v>3</v>
      </c>
      <c r="N2" s="3" t="s">
        <v>9</v>
      </c>
      <c r="O2" s="3" t="s">
        <v>5</v>
      </c>
      <c r="P2" s="3" t="s">
        <v>184</v>
      </c>
      <c r="Q2" s="3" t="s">
        <v>185</v>
      </c>
    </row>
    <row r="3" spans="1:17" ht="22.05" customHeight="1" x14ac:dyDescent="0.25">
      <c r="A3" s="4">
        <v>1</v>
      </c>
      <c r="B3" s="9" t="s">
        <v>13</v>
      </c>
      <c r="C3" s="4">
        <v>5</v>
      </c>
      <c r="D3" s="4">
        <v>3</v>
      </c>
      <c r="E3" s="4">
        <v>2</v>
      </c>
      <c r="F3" s="4">
        <f>E3+D3</f>
        <v>5</v>
      </c>
      <c r="G3" s="4">
        <v>500</v>
      </c>
      <c r="H3" s="4">
        <f>F3*G3</f>
        <v>2500</v>
      </c>
      <c r="I3" s="14">
        <v>1</v>
      </c>
      <c r="J3" s="14" t="s">
        <v>10</v>
      </c>
      <c r="K3" s="14">
        <v>100000</v>
      </c>
      <c r="L3" s="4">
        <v>1</v>
      </c>
      <c r="M3" s="4" t="s">
        <v>186</v>
      </c>
      <c r="N3" s="4">
        <v>20500</v>
      </c>
      <c r="O3" s="4" t="s">
        <v>187</v>
      </c>
      <c r="P3" s="4" t="s">
        <v>188</v>
      </c>
      <c r="Q3" s="24" t="s">
        <v>441</v>
      </c>
    </row>
    <row r="4" spans="1:17" ht="22.05" customHeight="1" x14ac:dyDescent="0.25">
      <c r="A4" s="4">
        <v>2</v>
      </c>
      <c r="B4" s="9" t="s">
        <v>17</v>
      </c>
      <c r="C4" s="4">
        <v>9</v>
      </c>
      <c r="D4" s="4">
        <v>4</v>
      </c>
      <c r="E4" s="4">
        <v>5</v>
      </c>
      <c r="F4" s="4">
        <f t="shared" ref="F4:F67" si="0">E4+D4</f>
        <v>9</v>
      </c>
      <c r="G4" s="4">
        <v>500</v>
      </c>
      <c r="H4" s="4">
        <f>F4*G4</f>
        <v>4500</v>
      </c>
      <c r="I4" s="14">
        <v>2</v>
      </c>
      <c r="J4" s="14" t="s">
        <v>14</v>
      </c>
      <c r="K4" s="14">
        <v>100000</v>
      </c>
      <c r="L4" s="4">
        <v>2</v>
      </c>
      <c r="M4" s="4" t="s">
        <v>189</v>
      </c>
      <c r="N4" s="4">
        <v>10000</v>
      </c>
      <c r="O4" s="4" t="s">
        <v>190</v>
      </c>
      <c r="P4" s="4" t="s">
        <v>191</v>
      </c>
      <c r="Q4" s="24" t="s">
        <v>440</v>
      </c>
    </row>
    <row r="5" spans="1:17" ht="22.05" customHeight="1" x14ac:dyDescent="0.25">
      <c r="A5" s="4">
        <v>3</v>
      </c>
      <c r="B5" s="9" t="s">
        <v>21</v>
      </c>
      <c r="C5" s="4">
        <v>1</v>
      </c>
      <c r="D5" s="4">
        <v>1</v>
      </c>
      <c r="E5" s="4"/>
      <c r="F5" s="4">
        <f t="shared" si="0"/>
        <v>1</v>
      </c>
      <c r="G5" s="4">
        <v>500</v>
      </c>
      <c r="H5" s="4">
        <f>F5*G5</f>
        <v>500</v>
      </c>
      <c r="I5" s="14">
        <v>3</v>
      </c>
      <c r="J5" s="14" t="s">
        <v>18</v>
      </c>
      <c r="K5" s="14">
        <v>50000</v>
      </c>
      <c r="L5" s="4">
        <v>3</v>
      </c>
      <c r="M5" s="4" t="s">
        <v>192</v>
      </c>
      <c r="N5" s="4">
        <v>10000</v>
      </c>
      <c r="O5" s="4" t="s">
        <v>193</v>
      </c>
      <c r="P5" s="4" t="s">
        <v>194</v>
      </c>
      <c r="Q5" s="24" t="s">
        <v>442</v>
      </c>
    </row>
    <row r="6" spans="1:17" ht="22.05" customHeight="1" x14ac:dyDescent="0.25">
      <c r="A6" s="4">
        <v>4</v>
      </c>
      <c r="B6" s="9" t="s">
        <v>25</v>
      </c>
      <c r="C6" s="4">
        <v>5</v>
      </c>
      <c r="D6" s="4">
        <v>3</v>
      </c>
      <c r="E6" s="4">
        <v>2</v>
      </c>
      <c r="F6" s="4">
        <f t="shared" si="0"/>
        <v>5</v>
      </c>
      <c r="G6" s="4">
        <v>500</v>
      </c>
      <c r="H6" s="4">
        <f>F6*G6</f>
        <v>2500</v>
      </c>
      <c r="I6" s="14">
        <v>4</v>
      </c>
      <c r="J6" s="14" t="s">
        <v>22</v>
      </c>
      <c r="K6" s="14">
        <v>38000</v>
      </c>
      <c r="L6" s="4">
        <v>4</v>
      </c>
      <c r="M6" s="4" t="s">
        <v>195</v>
      </c>
      <c r="N6" s="4">
        <v>10000</v>
      </c>
      <c r="O6" s="4" t="s">
        <v>196</v>
      </c>
      <c r="P6" s="4" t="s">
        <v>197</v>
      </c>
      <c r="Q6" s="4">
        <v>38800</v>
      </c>
    </row>
    <row r="7" spans="1:17" ht="22.05" customHeight="1" x14ac:dyDescent="0.25">
      <c r="A7" s="4">
        <v>5</v>
      </c>
      <c r="B7" s="9" t="s">
        <v>29</v>
      </c>
      <c r="C7" s="4">
        <v>2</v>
      </c>
      <c r="D7" s="4">
        <v>1</v>
      </c>
      <c r="E7" s="4">
        <v>1</v>
      </c>
      <c r="F7" s="4">
        <f t="shared" si="0"/>
        <v>2</v>
      </c>
      <c r="G7" s="4">
        <v>500</v>
      </c>
      <c r="H7" s="4">
        <f>F7*G7</f>
        <v>1000</v>
      </c>
      <c r="I7" s="14">
        <v>5</v>
      </c>
      <c r="J7" s="14" t="s">
        <v>26</v>
      </c>
      <c r="K7" s="14">
        <v>20000</v>
      </c>
      <c r="L7" s="4">
        <v>5</v>
      </c>
      <c r="M7" s="4" t="s">
        <v>198</v>
      </c>
      <c r="N7" s="4">
        <v>5500</v>
      </c>
      <c r="O7" s="4" t="s">
        <v>199</v>
      </c>
      <c r="P7" s="4" t="s">
        <v>200</v>
      </c>
      <c r="Q7" s="4">
        <v>5800</v>
      </c>
    </row>
    <row r="8" spans="1:17" ht="22.05" customHeight="1" x14ac:dyDescent="0.25">
      <c r="A8" s="4">
        <v>6</v>
      </c>
      <c r="B8" s="9" t="s">
        <v>33</v>
      </c>
      <c r="C8" s="4">
        <v>1</v>
      </c>
      <c r="D8" s="4">
        <v>0</v>
      </c>
      <c r="E8" s="4">
        <v>1</v>
      </c>
      <c r="F8" s="4">
        <f t="shared" si="0"/>
        <v>1</v>
      </c>
      <c r="G8" s="4">
        <v>500</v>
      </c>
      <c r="H8" s="4">
        <f>F8*G8</f>
        <v>500</v>
      </c>
      <c r="I8" s="14">
        <v>6</v>
      </c>
      <c r="J8" s="14" t="s">
        <v>30</v>
      </c>
      <c r="K8" s="14">
        <v>20000</v>
      </c>
      <c r="L8" s="4">
        <v>6</v>
      </c>
      <c r="M8" s="4" t="s">
        <v>201</v>
      </c>
      <c r="N8" s="4">
        <v>5500</v>
      </c>
      <c r="O8" s="4" t="s">
        <v>199</v>
      </c>
      <c r="P8" s="4" t="s">
        <v>202</v>
      </c>
      <c r="Q8" s="4">
        <v>8800</v>
      </c>
    </row>
    <row r="9" spans="1:17" ht="22.05" customHeight="1" x14ac:dyDescent="0.25">
      <c r="A9" s="4">
        <v>7</v>
      </c>
      <c r="B9" s="9" t="s">
        <v>37</v>
      </c>
      <c r="C9" s="4">
        <v>4</v>
      </c>
      <c r="D9" s="4">
        <v>1</v>
      </c>
      <c r="E9" s="4">
        <v>3</v>
      </c>
      <c r="F9" s="4">
        <f t="shared" si="0"/>
        <v>4</v>
      </c>
      <c r="G9" s="4">
        <v>500</v>
      </c>
      <c r="H9" s="4">
        <f>F9*G9</f>
        <v>2000</v>
      </c>
      <c r="I9" s="14">
        <v>7</v>
      </c>
      <c r="J9" s="4" t="s">
        <v>34</v>
      </c>
      <c r="K9" s="4">
        <v>10000</v>
      </c>
      <c r="L9" s="4">
        <v>7</v>
      </c>
      <c r="M9" s="4" t="s">
        <v>203</v>
      </c>
      <c r="N9" s="4">
        <v>3000</v>
      </c>
      <c r="O9" s="4" t="s">
        <v>204</v>
      </c>
      <c r="P9" s="4" t="s">
        <v>205</v>
      </c>
      <c r="Q9" s="4">
        <v>5800</v>
      </c>
    </row>
    <row r="10" spans="1:17" ht="22.05" customHeight="1" x14ac:dyDescent="0.25">
      <c r="A10" s="4">
        <v>8</v>
      </c>
      <c r="B10" s="9" t="s">
        <v>41</v>
      </c>
      <c r="C10" s="4">
        <v>1</v>
      </c>
      <c r="D10" s="4">
        <v>0</v>
      </c>
      <c r="E10" s="4">
        <v>1</v>
      </c>
      <c r="F10" s="4">
        <f t="shared" si="0"/>
        <v>1</v>
      </c>
      <c r="G10" s="4">
        <v>500</v>
      </c>
      <c r="H10" s="4">
        <f>F10*G10</f>
        <v>500</v>
      </c>
      <c r="I10" s="14">
        <v>8</v>
      </c>
      <c r="J10" s="4" t="s">
        <v>38</v>
      </c>
      <c r="K10" s="4">
        <v>10000</v>
      </c>
      <c r="L10" s="4">
        <v>8</v>
      </c>
      <c r="M10" s="4" t="s">
        <v>206</v>
      </c>
      <c r="N10" s="4">
        <v>2500</v>
      </c>
      <c r="O10" s="4" t="s">
        <v>207</v>
      </c>
      <c r="P10" s="4" t="s">
        <v>208</v>
      </c>
      <c r="Q10" s="4">
        <v>5800</v>
      </c>
    </row>
    <row r="11" spans="1:17" ht="22.05" customHeight="1" x14ac:dyDescent="0.25">
      <c r="A11" s="4">
        <v>9</v>
      </c>
      <c r="B11" s="9" t="s">
        <v>20</v>
      </c>
      <c r="C11" s="4">
        <v>3</v>
      </c>
      <c r="D11" s="4">
        <v>2</v>
      </c>
      <c r="E11" s="4">
        <v>1</v>
      </c>
      <c r="F11" s="4">
        <f t="shared" si="0"/>
        <v>3</v>
      </c>
      <c r="G11" s="4">
        <v>500</v>
      </c>
      <c r="H11" s="4">
        <f>F11*G11</f>
        <v>1500</v>
      </c>
      <c r="I11" s="14">
        <v>9</v>
      </c>
      <c r="J11" s="4" t="s">
        <v>42</v>
      </c>
      <c r="K11" s="4">
        <v>10000</v>
      </c>
      <c r="L11" s="4">
        <v>9</v>
      </c>
      <c r="M11" s="4" t="s">
        <v>209</v>
      </c>
      <c r="N11" s="4">
        <v>2500</v>
      </c>
      <c r="O11" s="4" t="s">
        <v>210</v>
      </c>
      <c r="P11" s="4" t="s">
        <v>211</v>
      </c>
      <c r="Q11" s="4">
        <v>5800</v>
      </c>
    </row>
    <row r="12" spans="1:17" ht="22.05" customHeight="1" x14ac:dyDescent="0.25">
      <c r="A12" s="4">
        <v>10</v>
      </c>
      <c r="B12" s="9" t="s">
        <v>47</v>
      </c>
      <c r="C12" s="4">
        <v>3</v>
      </c>
      <c r="D12" s="4">
        <v>1</v>
      </c>
      <c r="E12" s="4">
        <v>2</v>
      </c>
      <c r="F12" s="4">
        <f t="shared" si="0"/>
        <v>3</v>
      </c>
      <c r="G12" s="4">
        <v>500</v>
      </c>
      <c r="H12" s="4">
        <f>F12*G12</f>
        <v>1500</v>
      </c>
      <c r="I12" s="14">
        <v>10</v>
      </c>
      <c r="J12" s="4" t="s">
        <v>45</v>
      </c>
      <c r="K12" s="4">
        <v>10000</v>
      </c>
      <c r="L12" s="4">
        <v>10</v>
      </c>
      <c r="M12" s="4" t="s">
        <v>212</v>
      </c>
      <c r="N12" s="4">
        <v>2500</v>
      </c>
      <c r="O12" s="4" t="s">
        <v>210</v>
      </c>
      <c r="P12" s="4" t="s">
        <v>213</v>
      </c>
      <c r="Q12" s="4">
        <v>7800</v>
      </c>
    </row>
    <row r="13" spans="1:17" ht="22.05" customHeight="1" x14ac:dyDescent="0.25">
      <c r="A13" s="4">
        <v>11</v>
      </c>
      <c r="B13" s="9" t="s">
        <v>51</v>
      </c>
      <c r="C13" s="4">
        <v>2</v>
      </c>
      <c r="D13" s="4">
        <v>1</v>
      </c>
      <c r="E13" s="4">
        <v>1</v>
      </c>
      <c r="F13" s="4">
        <f t="shared" si="0"/>
        <v>2</v>
      </c>
      <c r="G13" s="4">
        <v>500</v>
      </c>
      <c r="H13" s="4">
        <f>F13*G13</f>
        <v>1000</v>
      </c>
      <c r="I13" s="14">
        <v>11</v>
      </c>
      <c r="J13" s="4" t="s">
        <v>48</v>
      </c>
      <c r="K13" s="4">
        <v>10000</v>
      </c>
      <c r="L13" s="4">
        <v>11</v>
      </c>
      <c r="M13" s="4" t="s">
        <v>214</v>
      </c>
      <c r="N13" s="4">
        <v>2500</v>
      </c>
      <c r="O13" s="4" t="s">
        <v>210</v>
      </c>
      <c r="P13" s="4" t="s">
        <v>215</v>
      </c>
      <c r="Q13" s="4">
        <v>5800</v>
      </c>
    </row>
    <row r="14" spans="1:17" ht="22.05" customHeight="1" x14ac:dyDescent="0.25">
      <c r="A14" s="4">
        <v>12</v>
      </c>
      <c r="B14" s="9" t="s">
        <v>55</v>
      </c>
      <c r="C14" s="4">
        <v>6</v>
      </c>
      <c r="D14" s="4">
        <v>3</v>
      </c>
      <c r="E14" s="4">
        <v>3</v>
      </c>
      <c r="F14" s="4">
        <f t="shared" si="0"/>
        <v>6</v>
      </c>
      <c r="G14" s="4">
        <v>500</v>
      </c>
      <c r="H14" s="4">
        <f>F14*G14</f>
        <v>3000</v>
      </c>
      <c r="I14" s="14">
        <v>12</v>
      </c>
      <c r="J14" s="4" t="s">
        <v>52</v>
      </c>
      <c r="K14" s="4">
        <v>10000</v>
      </c>
      <c r="L14" s="4">
        <v>12</v>
      </c>
      <c r="M14" s="4" t="s">
        <v>216</v>
      </c>
      <c r="N14" s="4">
        <v>2500</v>
      </c>
      <c r="O14" s="4" t="s">
        <v>217</v>
      </c>
      <c r="P14" s="4" t="s">
        <v>218</v>
      </c>
      <c r="Q14" s="4">
        <v>5800</v>
      </c>
    </row>
    <row r="15" spans="1:17" ht="22.05" customHeight="1" x14ac:dyDescent="0.25">
      <c r="A15" s="4">
        <v>13</v>
      </c>
      <c r="B15" s="9" t="s">
        <v>26</v>
      </c>
      <c r="C15" s="4">
        <v>4</v>
      </c>
      <c r="D15" s="4">
        <v>2</v>
      </c>
      <c r="E15" s="4">
        <v>2</v>
      </c>
      <c r="F15" s="4">
        <f t="shared" si="0"/>
        <v>4</v>
      </c>
      <c r="G15" s="4">
        <v>500</v>
      </c>
      <c r="H15" s="4">
        <f>F15*G15</f>
        <v>2000</v>
      </c>
      <c r="I15" s="14">
        <v>13</v>
      </c>
      <c r="J15" s="4" t="s">
        <v>56</v>
      </c>
      <c r="K15" s="4">
        <v>10000</v>
      </c>
      <c r="L15" s="4">
        <v>13</v>
      </c>
      <c r="M15" s="4" t="s">
        <v>219</v>
      </c>
      <c r="N15" s="4">
        <v>2500</v>
      </c>
      <c r="O15" s="4" t="s">
        <v>204</v>
      </c>
      <c r="P15" s="4" t="s">
        <v>220</v>
      </c>
      <c r="Q15" s="4">
        <v>5800</v>
      </c>
    </row>
    <row r="16" spans="1:17" ht="22.05" customHeight="1" x14ac:dyDescent="0.25">
      <c r="A16" s="4">
        <v>14</v>
      </c>
      <c r="B16" s="9" t="s">
        <v>61</v>
      </c>
      <c r="C16" s="4">
        <v>2</v>
      </c>
      <c r="D16" s="4">
        <v>1</v>
      </c>
      <c r="E16" s="4">
        <v>1</v>
      </c>
      <c r="F16" s="4">
        <f t="shared" si="0"/>
        <v>2</v>
      </c>
      <c r="G16" s="4">
        <v>500</v>
      </c>
      <c r="H16" s="4">
        <f>F16*G16</f>
        <v>1000</v>
      </c>
      <c r="I16" s="14">
        <v>14</v>
      </c>
      <c r="J16" s="4" t="s">
        <v>55</v>
      </c>
      <c r="K16" s="4">
        <v>10000</v>
      </c>
      <c r="L16" s="4">
        <v>14</v>
      </c>
      <c r="M16" s="4" t="s">
        <v>221</v>
      </c>
      <c r="N16" s="4">
        <v>2500</v>
      </c>
      <c r="O16" s="4" t="s">
        <v>222</v>
      </c>
      <c r="P16" s="24" t="s">
        <v>439</v>
      </c>
      <c r="Q16" s="4">
        <v>10000</v>
      </c>
    </row>
    <row r="17" spans="1:17" ht="22.05" customHeight="1" x14ac:dyDescent="0.25">
      <c r="A17" s="4">
        <v>15</v>
      </c>
      <c r="B17" s="9" t="s">
        <v>64</v>
      </c>
      <c r="C17" s="4">
        <v>3</v>
      </c>
      <c r="D17" s="4">
        <v>2</v>
      </c>
      <c r="E17" s="4">
        <v>1</v>
      </c>
      <c r="F17" s="4">
        <f t="shared" si="0"/>
        <v>3</v>
      </c>
      <c r="G17" s="4">
        <v>500</v>
      </c>
      <c r="H17" s="4">
        <f>F17*G17</f>
        <v>1500</v>
      </c>
      <c r="I17" s="14">
        <v>15</v>
      </c>
      <c r="J17" s="4" t="s">
        <v>61</v>
      </c>
      <c r="K17" s="4">
        <v>10000</v>
      </c>
      <c r="L17" s="4">
        <v>15</v>
      </c>
      <c r="M17" s="4" t="s">
        <v>223</v>
      </c>
      <c r="N17" s="4">
        <v>2500</v>
      </c>
      <c r="O17" s="4" t="s">
        <v>224</v>
      </c>
      <c r="P17" s="24" t="s">
        <v>438</v>
      </c>
      <c r="Q17" s="4">
        <v>10000</v>
      </c>
    </row>
    <row r="18" spans="1:17" ht="22.05" customHeight="1" x14ac:dyDescent="0.25">
      <c r="A18" s="4">
        <v>16</v>
      </c>
      <c r="B18" s="9" t="s">
        <v>67</v>
      </c>
      <c r="C18" s="4">
        <v>3</v>
      </c>
      <c r="D18" s="4">
        <v>2</v>
      </c>
      <c r="E18" s="4">
        <v>1</v>
      </c>
      <c r="F18" s="4">
        <f t="shared" si="0"/>
        <v>3</v>
      </c>
      <c r="G18" s="4">
        <v>500</v>
      </c>
      <c r="H18" s="4">
        <f>F18*G18</f>
        <v>1500</v>
      </c>
      <c r="I18" s="14">
        <v>16</v>
      </c>
      <c r="J18" s="4" t="s">
        <v>37</v>
      </c>
      <c r="K18" s="4">
        <v>10000</v>
      </c>
      <c r="L18" s="4">
        <v>16</v>
      </c>
      <c r="M18" s="4" t="s">
        <v>225</v>
      </c>
      <c r="N18" s="4">
        <v>2000</v>
      </c>
      <c r="O18" s="4" t="s">
        <v>226</v>
      </c>
      <c r="P18" s="24" t="s">
        <v>437</v>
      </c>
      <c r="Q18" s="4">
        <v>5000</v>
      </c>
    </row>
    <row r="19" spans="1:17" ht="22.05" customHeight="1" x14ac:dyDescent="0.25">
      <c r="A19" s="4">
        <v>17</v>
      </c>
      <c r="B19" s="9" t="s">
        <v>70</v>
      </c>
      <c r="C19" s="4">
        <v>3</v>
      </c>
      <c r="D19" s="4">
        <v>2</v>
      </c>
      <c r="E19" s="4">
        <v>1</v>
      </c>
      <c r="F19" s="4">
        <f t="shared" si="0"/>
        <v>3</v>
      </c>
      <c r="G19" s="4">
        <v>500</v>
      </c>
      <c r="H19" s="4">
        <f>F19*G19</f>
        <v>1500</v>
      </c>
      <c r="I19" s="14">
        <v>17</v>
      </c>
      <c r="J19" s="4" t="s">
        <v>68</v>
      </c>
      <c r="K19" s="4">
        <v>10000</v>
      </c>
      <c r="L19" s="4">
        <v>17</v>
      </c>
      <c r="M19" s="4" t="s">
        <v>227</v>
      </c>
      <c r="N19" s="4">
        <v>2000</v>
      </c>
      <c r="O19" s="4" t="s">
        <v>228</v>
      </c>
    </row>
    <row r="20" spans="1:17" ht="22.05" customHeight="1" x14ac:dyDescent="0.25">
      <c r="A20" s="4">
        <v>18</v>
      </c>
      <c r="B20" s="9" t="s">
        <v>72</v>
      </c>
      <c r="C20" s="4">
        <v>7</v>
      </c>
      <c r="D20" s="4">
        <v>4</v>
      </c>
      <c r="E20" s="4">
        <v>3</v>
      </c>
      <c r="F20" s="4">
        <f t="shared" si="0"/>
        <v>7</v>
      </c>
      <c r="G20" s="4">
        <v>500</v>
      </c>
      <c r="H20" s="4">
        <f>F20*G20</f>
        <v>3500</v>
      </c>
      <c r="I20" s="14">
        <v>18</v>
      </c>
      <c r="J20" s="4" t="s">
        <v>71</v>
      </c>
      <c r="K20" s="4">
        <v>10000</v>
      </c>
      <c r="L20" s="4">
        <v>18</v>
      </c>
      <c r="M20" s="4" t="s">
        <v>229</v>
      </c>
      <c r="N20" s="4">
        <v>2000</v>
      </c>
      <c r="O20" s="4" t="s">
        <v>230</v>
      </c>
    </row>
    <row r="21" spans="1:17" ht="22.05" customHeight="1" x14ac:dyDescent="0.25">
      <c r="A21" s="4">
        <v>19</v>
      </c>
      <c r="B21" s="9" t="s">
        <v>75</v>
      </c>
      <c r="C21" s="4">
        <v>4</v>
      </c>
      <c r="D21" s="4">
        <v>2</v>
      </c>
      <c r="E21" s="4">
        <v>2</v>
      </c>
      <c r="F21" s="4">
        <f t="shared" si="0"/>
        <v>4</v>
      </c>
      <c r="G21" s="4">
        <v>500</v>
      </c>
      <c r="H21" s="4">
        <f>F21*G21</f>
        <v>2000</v>
      </c>
      <c r="I21" s="14">
        <v>19</v>
      </c>
      <c r="J21" s="4" t="s">
        <v>73</v>
      </c>
      <c r="K21" s="4">
        <v>10000</v>
      </c>
      <c r="L21" s="4">
        <v>19</v>
      </c>
      <c r="M21" s="4" t="s">
        <v>231</v>
      </c>
      <c r="N21" s="4">
        <v>2000</v>
      </c>
      <c r="O21" s="4" t="s">
        <v>232</v>
      </c>
    </row>
    <row r="22" spans="1:17" ht="22.05" customHeight="1" x14ac:dyDescent="0.25">
      <c r="A22" s="4">
        <v>20</v>
      </c>
      <c r="B22" s="9" t="s">
        <v>78</v>
      </c>
      <c r="C22" s="4">
        <v>7</v>
      </c>
      <c r="D22" s="4">
        <v>4</v>
      </c>
      <c r="E22" s="4">
        <v>3</v>
      </c>
      <c r="F22" s="4">
        <f t="shared" si="0"/>
        <v>7</v>
      </c>
      <c r="G22" s="4">
        <v>500</v>
      </c>
      <c r="H22" s="4">
        <f>F22*G22</f>
        <v>3500</v>
      </c>
      <c r="I22" s="14">
        <v>20</v>
      </c>
      <c r="J22" s="4" t="s">
        <v>76</v>
      </c>
      <c r="K22" s="4">
        <v>10000</v>
      </c>
      <c r="L22" s="4">
        <v>20</v>
      </c>
      <c r="M22" s="4" t="s">
        <v>233</v>
      </c>
      <c r="N22" s="4">
        <v>2000</v>
      </c>
      <c r="O22" s="4" t="s">
        <v>232</v>
      </c>
    </row>
    <row r="23" spans="1:17" ht="22.05" customHeight="1" x14ac:dyDescent="0.25">
      <c r="A23" s="4">
        <v>21</v>
      </c>
      <c r="B23" s="9" t="s">
        <v>46</v>
      </c>
      <c r="C23" s="4">
        <v>4</v>
      </c>
      <c r="D23" s="4">
        <v>2</v>
      </c>
      <c r="E23" s="4">
        <v>2</v>
      </c>
      <c r="F23" s="4">
        <f t="shared" si="0"/>
        <v>4</v>
      </c>
      <c r="G23" s="4">
        <v>500</v>
      </c>
      <c r="H23" s="4">
        <f>F23*G23</f>
        <v>2000</v>
      </c>
      <c r="I23" s="14">
        <v>21</v>
      </c>
      <c r="J23" s="4" t="s">
        <v>79</v>
      </c>
      <c r="K23" s="4">
        <v>10000</v>
      </c>
      <c r="L23" s="4">
        <v>21</v>
      </c>
      <c r="M23" s="4" t="s">
        <v>234</v>
      </c>
      <c r="N23" s="4">
        <v>2000</v>
      </c>
      <c r="O23" s="4" t="s">
        <v>232</v>
      </c>
    </row>
    <row r="24" spans="1:17" ht="22.05" customHeight="1" x14ac:dyDescent="0.25">
      <c r="A24" s="4">
        <v>22</v>
      </c>
      <c r="B24" s="9" t="s">
        <v>82</v>
      </c>
      <c r="C24" s="4">
        <v>6</v>
      </c>
      <c r="D24" s="4">
        <v>3</v>
      </c>
      <c r="E24" s="4">
        <v>3</v>
      </c>
      <c r="F24" s="4">
        <f t="shared" si="0"/>
        <v>6</v>
      </c>
      <c r="G24" s="4">
        <v>500</v>
      </c>
      <c r="H24" s="4">
        <f>F24*G24</f>
        <v>3000</v>
      </c>
      <c r="I24" s="14">
        <v>22</v>
      </c>
      <c r="J24" s="4" t="s">
        <v>11</v>
      </c>
      <c r="K24" s="4">
        <v>5000</v>
      </c>
      <c r="L24" s="4">
        <v>22</v>
      </c>
      <c r="M24" s="4" t="s">
        <v>235</v>
      </c>
      <c r="N24" s="4">
        <v>2000</v>
      </c>
      <c r="O24" s="4" t="s">
        <v>236</v>
      </c>
    </row>
    <row r="25" spans="1:17" ht="22.05" customHeight="1" x14ac:dyDescent="0.25">
      <c r="A25" s="4">
        <v>23</v>
      </c>
      <c r="B25" s="9" t="s">
        <v>83</v>
      </c>
      <c r="C25" s="4">
        <v>4</v>
      </c>
      <c r="D25" s="4">
        <v>1</v>
      </c>
      <c r="E25" s="4">
        <v>3</v>
      </c>
      <c r="F25" s="4">
        <f t="shared" si="0"/>
        <v>4</v>
      </c>
      <c r="G25" s="4">
        <v>500</v>
      </c>
      <c r="H25" s="4">
        <f>F25*G25</f>
        <v>2000</v>
      </c>
      <c r="I25" s="14">
        <v>23</v>
      </c>
      <c r="J25" s="4" t="s">
        <v>15</v>
      </c>
      <c r="K25" s="4">
        <v>5000</v>
      </c>
      <c r="L25" s="4">
        <v>23</v>
      </c>
      <c r="M25" s="4" t="s">
        <v>237</v>
      </c>
      <c r="N25" s="4">
        <v>2000</v>
      </c>
      <c r="O25" s="4" t="s">
        <v>193</v>
      </c>
    </row>
    <row r="26" spans="1:17" ht="22.05" customHeight="1" x14ac:dyDescent="0.25">
      <c r="A26" s="4">
        <v>24</v>
      </c>
      <c r="B26" s="9" t="s">
        <v>84</v>
      </c>
      <c r="C26" s="4">
        <v>6</v>
      </c>
      <c r="D26" s="4">
        <v>2</v>
      </c>
      <c r="E26" s="4">
        <v>4</v>
      </c>
      <c r="F26" s="4">
        <f t="shared" si="0"/>
        <v>6</v>
      </c>
      <c r="G26" s="4">
        <v>500</v>
      </c>
      <c r="H26" s="4">
        <f>F26*G26</f>
        <v>3000</v>
      </c>
      <c r="I26" s="14">
        <v>24</v>
      </c>
      <c r="J26" s="4" t="s">
        <v>19</v>
      </c>
      <c r="K26" s="4">
        <v>5000</v>
      </c>
      <c r="L26" s="4">
        <v>24</v>
      </c>
      <c r="M26" s="4" t="s">
        <v>238</v>
      </c>
      <c r="N26" s="4">
        <v>2000</v>
      </c>
      <c r="O26" s="4" t="s">
        <v>239</v>
      </c>
    </row>
    <row r="27" spans="1:17" ht="22.05" customHeight="1" x14ac:dyDescent="0.25">
      <c r="A27" s="4">
        <v>25</v>
      </c>
      <c r="B27" s="9" t="s">
        <v>85</v>
      </c>
      <c r="C27" s="4">
        <v>3</v>
      </c>
      <c r="D27" s="4">
        <v>2</v>
      </c>
      <c r="E27" s="4">
        <v>1</v>
      </c>
      <c r="F27" s="4">
        <f t="shared" si="0"/>
        <v>3</v>
      </c>
      <c r="G27" s="4">
        <v>500</v>
      </c>
      <c r="H27" s="4">
        <f>F27*G27</f>
        <v>1500</v>
      </c>
      <c r="I27" s="14">
        <v>25</v>
      </c>
      <c r="J27" s="4" t="s">
        <v>23</v>
      </c>
      <c r="K27" s="4">
        <v>5000</v>
      </c>
      <c r="L27" s="4">
        <v>25</v>
      </c>
      <c r="M27" s="4" t="s">
        <v>240</v>
      </c>
      <c r="N27" s="4">
        <v>2000</v>
      </c>
      <c r="O27" s="4" t="s">
        <v>241</v>
      </c>
    </row>
    <row r="28" spans="1:17" ht="22.05" customHeight="1" x14ac:dyDescent="0.25">
      <c r="A28" s="4">
        <v>26</v>
      </c>
      <c r="B28" s="9" t="s">
        <v>86</v>
      </c>
      <c r="C28" s="4">
        <v>5</v>
      </c>
      <c r="D28" s="4">
        <v>2</v>
      </c>
      <c r="E28" s="4">
        <v>3</v>
      </c>
      <c r="F28" s="4">
        <f t="shared" si="0"/>
        <v>5</v>
      </c>
      <c r="G28" s="4">
        <v>500</v>
      </c>
      <c r="H28" s="4">
        <f>F28*G28</f>
        <v>2500</v>
      </c>
      <c r="I28" s="14">
        <v>26</v>
      </c>
      <c r="J28" s="4" t="s">
        <v>27</v>
      </c>
      <c r="K28" s="4">
        <v>5000</v>
      </c>
      <c r="L28" s="4">
        <v>26</v>
      </c>
      <c r="M28" s="4" t="s">
        <v>242</v>
      </c>
      <c r="N28" s="4">
        <v>2000</v>
      </c>
      <c r="O28" s="4" t="s">
        <v>243</v>
      </c>
    </row>
    <row r="29" spans="1:17" s="1" customFormat="1" ht="22.05" customHeight="1" x14ac:dyDescent="0.25">
      <c r="A29" s="4">
        <v>27</v>
      </c>
      <c r="B29" s="9" t="s">
        <v>88</v>
      </c>
      <c r="C29" s="4">
        <v>1</v>
      </c>
      <c r="D29" s="4">
        <v>1</v>
      </c>
      <c r="E29" s="4">
        <v>0</v>
      </c>
      <c r="F29" s="4">
        <f t="shared" si="0"/>
        <v>1</v>
      </c>
      <c r="G29" s="4">
        <v>500</v>
      </c>
      <c r="H29" s="4">
        <f>F29*G29</f>
        <v>500</v>
      </c>
      <c r="I29" s="14">
        <v>27</v>
      </c>
      <c r="J29" s="4" t="s">
        <v>31</v>
      </c>
      <c r="K29" s="4">
        <v>5000</v>
      </c>
      <c r="L29" s="4">
        <v>27</v>
      </c>
      <c r="M29" s="4" t="s">
        <v>244</v>
      </c>
      <c r="N29" s="4">
        <v>2000</v>
      </c>
      <c r="O29" s="4" t="s">
        <v>245</v>
      </c>
    </row>
    <row r="30" spans="1:17" ht="22.05" customHeight="1" x14ac:dyDescent="0.25">
      <c r="A30" s="4">
        <v>28</v>
      </c>
      <c r="B30" s="9" t="s">
        <v>90</v>
      </c>
      <c r="C30" s="4">
        <v>3</v>
      </c>
      <c r="D30" s="4">
        <v>1</v>
      </c>
      <c r="E30" s="4">
        <v>2</v>
      </c>
      <c r="F30" s="4">
        <f t="shared" si="0"/>
        <v>3</v>
      </c>
      <c r="G30" s="4">
        <v>500</v>
      </c>
      <c r="H30" s="4">
        <f>F30*G30</f>
        <v>1500</v>
      </c>
      <c r="I30" s="14">
        <v>28</v>
      </c>
      <c r="J30" s="4" t="s">
        <v>35</v>
      </c>
      <c r="K30" s="4">
        <v>5000</v>
      </c>
      <c r="L30" s="4">
        <v>28</v>
      </c>
      <c r="M30" s="4" t="s">
        <v>246</v>
      </c>
      <c r="N30" s="4">
        <v>2000</v>
      </c>
      <c r="O30" s="4" t="s">
        <v>196</v>
      </c>
    </row>
    <row r="31" spans="1:17" ht="22.05" customHeight="1" x14ac:dyDescent="0.25">
      <c r="A31" s="4">
        <v>29</v>
      </c>
      <c r="B31" s="9" t="s">
        <v>91</v>
      </c>
      <c r="C31" s="4">
        <v>2</v>
      </c>
      <c r="D31" s="4">
        <v>2</v>
      </c>
      <c r="E31" s="4">
        <v>0</v>
      </c>
      <c r="F31" s="4">
        <f t="shared" si="0"/>
        <v>2</v>
      </c>
      <c r="G31" s="4">
        <v>500</v>
      </c>
      <c r="H31" s="4">
        <f>F31*G31</f>
        <v>1000</v>
      </c>
      <c r="I31" s="14">
        <v>29</v>
      </c>
      <c r="J31" s="4" t="s">
        <v>39</v>
      </c>
      <c r="K31" s="4">
        <v>3500</v>
      </c>
      <c r="L31" s="4">
        <v>29</v>
      </c>
      <c r="M31" s="4" t="s">
        <v>247</v>
      </c>
      <c r="N31" s="4">
        <v>2000</v>
      </c>
      <c r="O31" s="4" t="s">
        <v>248</v>
      </c>
    </row>
    <row r="32" spans="1:17" ht="22.05" customHeight="1" x14ac:dyDescent="0.25">
      <c r="A32" s="4">
        <v>30</v>
      </c>
      <c r="B32" s="9" t="s">
        <v>92</v>
      </c>
      <c r="C32" s="4">
        <v>8</v>
      </c>
      <c r="D32" s="4">
        <v>4</v>
      </c>
      <c r="E32" s="4">
        <v>4</v>
      </c>
      <c r="F32" s="4">
        <f t="shared" si="0"/>
        <v>8</v>
      </c>
      <c r="G32" s="4">
        <v>500</v>
      </c>
      <c r="H32" s="4">
        <f>F32*G32</f>
        <v>4000</v>
      </c>
      <c r="I32" s="14">
        <v>30</v>
      </c>
      <c r="J32" s="4" t="s">
        <v>43</v>
      </c>
      <c r="K32" s="4">
        <v>5000</v>
      </c>
      <c r="L32" s="4">
        <v>30</v>
      </c>
      <c r="M32" s="4" t="s">
        <v>249</v>
      </c>
      <c r="N32" s="1">
        <v>1500</v>
      </c>
      <c r="O32" s="4" t="s">
        <v>228</v>
      </c>
    </row>
    <row r="33" spans="1:15" ht="22.05" customHeight="1" x14ac:dyDescent="0.25">
      <c r="A33" s="4">
        <v>31</v>
      </c>
      <c r="B33" s="9" t="s">
        <v>50</v>
      </c>
      <c r="C33" s="4">
        <v>5</v>
      </c>
      <c r="D33" s="4">
        <v>3</v>
      </c>
      <c r="E33" s="4">
        <v>2</v>
      </c>
      <c r="F33" s="4">
        <f t="shared" si="0"/>
        <v>5</v>
      </c>
      <c r="G33" s="4">
        <v>500</v>
      </c>
      <c r="H33" s="4">
        <f>F33*G33</f>
        <v>2500</v>
      </c>
      <c r="I33" s="14">
        <v>31</v>
      </c>
      <c r="J33" s="4" t="s">
        <v>46</v>
      </c>
      <c r="K33" s="4">
        <v>3000</v>
      </c>
      <c r="L33" s="4">
        <v>31</v>
      </c>
      <c r="M33" s="4" t="s">
        <v>250</v>
      </c>
      <c r="N33" s="4">
        <v>1500</v>
      </c>
      <c r="O33" s="4" t="s">
        <v>251</v>
      </c>
    </row>
    <row r="34" spans="1:15" ht="22.05" customHeight="1" x14ac:dyDescent="0.25">
      <c r="A34" s="4">
        <v>32</v>
      </c>
      <c r="B34" s="9" t="s">
        <v>93</v>
      </c>
      <c r="C34" s="4">
        <v>8</v>
      </c>
      <c r="D34" s="4">
        <v>5</v>
      </c>
      <c r="E34" s="4">
        <v>3</v>
      </c>
      <c r="F34" s="4">
        <f t="shared" si="0"/>
        <v>8</v>
      </c>
      <c r="G34" s="4">
        <v>500</v>
      </c>
      <c r="H34" s="4">
        <f>F34*G34</f>
        <v>4000</v>
      </c>
      <c r="I34" s="14">
        <v>32</v>
      </c>
      <c r="J34" s="4" t="s">
        <v>49</v>
      </c>
      <c r="K34" s="4">
        <v>3000</v>
      </c>
      <c r="L34" s="4">
        <v>32</v>
      </c>
      <c r="M34" s="4" t="s">
        <v>252</v>
      </c>
      <c r="N34" s="4">
        <v>1500</v>
      </c>
      <c r="O34" s="4" t="s">
        <v>253</v>
      </c>
    </row>
    <row r="35" spans="1:15" ht="22.05" customHeight="1" x14ac:dyDescent="0.25">
      <c r="A35" s="4">
        <v>33</v>
      </c>
      <c r="B35" s="9" t="s">
        <v>94</v>
      </c>
      <c r="C35" s="4">
        <v>4</v>
      </c>
      <c r="D35" s="4">
        <v>3</v>
      </c>
      <c r="E35" s="4">
        <v>1</v>
      </c>
      <c r="F35" s="4">
        <f t="shared" si="0"/>
        <v>4</v>
      </c>
      <c r="G35" s="4">
        <v>500</v>
      </c>
      <c r="H35" s="4">
        <f>F35*G35</f>
        <v>2000</v>
      </c>
      <c r="I35" s="14">
        <v>33</v>
      </c>
      <c r="J35" s="4" t="s">
        <v>53</v>
      </c>
      <c r="K35" s="4">
        <v>3000</v>
      </c>
      <c r="L35" s="4">
        <v>33</v>
      </c>
      <c r="M35" s="4" t="s">
        <v>254</v>
      </c>
      <c r="N35" s="4">
        <v>1000</v>
      </c>
      <c r="O35" s="4" t="s">
        <v>228</v>
      </c>
    </row>
    <row r="36" spans="1:15" ht="22.05" customHeight="1" x14ac:dyDescent="0.25">
      <c r="A36" s="4">
        <v>34</v>
      </c>
      <c r="B36" s="9" t="s">
        <v>49</v>
      </c>
      <c r="C36" s="4">
        <v>5</v>
      </c>
      <c r="D36" s="4">
        <v>2</v>
      </c>
      <c r="E36" s="4">
        <v>3</v>
      </c>
      <c r="F36" s="4">
        <f t="shared" si="0"/>
        <v>5</v>
      </c>
      <c r="G36" s="4">
        <v>500</v>
      </c>
      <c r="H36" s="4">
        <f>F36*G36</f>
        <v>2500</v>
      </c>
      <c r="I36" s="14">
        <v>34</v>
      </c>
      <c r="J36" s="4" t="s">
        <v>57</v>
      </c>
      <c r="K36" s="4">
        <v>3000</v>
      </c>
      <c r="L36" s="4">
        <v>34</v>
      </c>
      <c r="M36" s="4" t="s">
        <v>255</v>
      </c>
      <c r="N36" s="4">
        <v>1000</v>
      </c>
      <c r="O36" s="4" t="s">
        <v>256</v>
      </c>
    </row>
    <row r="37" spans="1:15" ht="22.05" customHeight="1" x14ac:dyDescent="0.25">
      <c r="A37" s="4">
        <v>35</v>
      </c>
      <c r="B37" s="9" t="s">
        <v>56</v>
      </c>
      <c r="C37" s="4">
        <v>3</v>
      </c>
      <c r="D37" s="4">
        <v>2</v>
      </c>
      <c r="E37" s="4">
        <v>1</v>
      </c>
      <c r="F37" s="4">
        <f t="shared" si="0"/>
        <v>3</v>
      </c>
      <c r="G37" s="4">
        <v>500</v>
      </c>
      <c r="H37" s="4">
        <f>F37*G37</f>
        <v>1500</v>
      </c>
      <c r="I37" s="14">
        <v>35</v>
      </c>
      <c r="J37" s="4" t="s">
        <v>59</v>
      </c>
      <c r="K37" s="4">
        <v>3000</v>
      </c>
      <c r="L37" s="4">
        <v>35</v>
      </c>
      <c r="M37" s="4" t="s">
        <v>257</v>
      </c>
      <c r="N37" s="4">
        <v>1000</v>
      </c>
      <c r="O37" s="4" t="s">
        <v>258</v>
      </c>
    </row>
    <row r="38" spans="1:15" ht="22.05" customHeight="1" x14ac:dyDescent="0.25">
      <c r="A38" s="4">
        <v>36</v>
      </c>
      <c r="B38" s="9" t="s">
        <v>95</v>
      </c>
      <c r="C38" s="4">
        <v>5</v>
      </c>
      <c r="D38" s="4">
        <v>2</v>
      </c>
      <c r="E38" s="4">
        <v>3</v>
      </c>
      <c r="F38" s="4">
        <f t="shared" si="0"/>
        <v>5</v>
      </c>
      <c r="G38" s="4">
        <v>500</v>
      </c>
      <c r="H38" s="4">
        <f>F38*G38</f>
        <v>2500</v>
      </c>
      <c r="I38" s="14">
        <v>36</v>
      </c>
      <c r="J38" s="4" t="s">
        <v>62</v>
      </c>
      <c r="K38" s="4">
        <v>3000</v>
      </c>
      <c r="L38" s="4">
        <v>36</v>
      </c>
      <c r="M38" s="5" t="s">
        <v>259</v>
      </c>
      <c r="N38" s="5">
        <v>1000</v>
      </c>
      <c r="O38" s="4" t="s">
        <v>260</v>
      </c>
    </row>
    <row r="39" spans="1:15" ht="22.05" customHeight="1" x14ac:dyDescent="0.25">
      <c r="A39" s="4">
        <v>37</v>
      </c>
      <c r="B39" s="9" t="s">
        <v>96</v>
      </c>
      <c r="C39" s="4">
        <v>1</v>
      </c>
      <c r="D39" s="4">
        <v>1</v>
      </c>
      <c r="E39" s="4">
        <v>0</v>
      </c>
      <c r="F39" s="4">
        <f t="shared" si="0"/>
        <v>1</v>
      </c>
      <c r="G39" s="4">
        <v>500</v>
      </c>
      <c r="H39" s="4">
        <f>F39*G39</f>
        <v>500</v>
      </c>
      <c r="I39" s="14">
        <v>37</v>
      </c>
      <c r="J39" s="4" t="s">
        <v>65</v>
      </c>
      <c r="K39" s="4">
        <v>3000</v>
      </c>
      <c r="L39" s="4">
        <v>37</v>
      </c>
      <c r="M39" s="4" t="s">
        <v>261</v>
      </c>
      <c r="N39" s="4">
        <v>1000</v>
      </c>
      <c r="O39" s="4" t="s">
        <v>262</v>
      </c>
    </row>
    <row r="40" spans="1:15" ht="22.05" customHeight="1" x14ac:dyDescent="0.25">
      <c r="A40" s="4">
        <v>38</v>
      </c>
      <c r="B40" s="9" t="s">
        <v>23</v>
      </c>
      <c r="C40" s="4">
        <v>6</v>
      </c>
      <c r="D40" s="4">
        <v>2</v>
      </c>
      <c r="E40" s="4">
        <v>4</v>
      </c>
      <c r="F40" s="4">
        <f t="shared" si="0"/>
        <v>6</v>
      </c>
      <c r="G40" s="4">
        <v>500</v>
      </c>
      <c r="H40" s="4">
        <f>F40*G40</f>
        <v>3000</v>
      </c>
      <c r="I40" s="14">
        <v>38</v>
      </c>
      <c r="J40" s="4" t="s">
        <v>12</v>
      </c>
      <c r="K40" s="4">
        <v>2000</v>
      </c>
      <c r="L40" s="4">
        <v>38</v>
      </c>
      <c r="M40" s="4" t="s">
        <v>263</v>
      </c>
      <c r="N40" s="4">
        <v>1000</v>
      </c>
      <c r="O40" s="4" t="s">
        <v>262</v>
      </c>
    </row>
    <row r="41" spans="1:15" ht="22.05" customHeight="1" x14ac:dyDescent="0.25">
      <c r="A41" s="4">
        <v>39</v>
      </c>
      <c r="B41" s="9" t="s">
        <v>97</v>
      </c>
      <c r="C41" s="4">
        <v>3</v>
      </c>
      <c r="D41" s="4">
        <v>2</v>
      </c>
      <c r="E41" s="4">
        <v>1</v>
      </c>
      <c r="F41" s="4">
        <f t="shared" si="0"/>
        <v>3</v>
      </c>
      <c r="G41" s="4">
        <v>500</v>
      </c>
      <c r="H41" s="4">
        <f>F41*G41</f>
        <v>1500</v>
      </c>
      <c r="I41" s="14">
        <v>39</v>
      </c>
      <c r="J41" s="4" t="s">
        <v>16</v>
      </c>
      <c r="K41" s="4">
        <v>2000</v>
      </c>
      <c r="L41" s="4">
        <v>39</v>
      </c>
      <c r="M41" s="4" t="s">
        <v>264</v>
      </c>
      <c r="N41" s="4">
        <v>1000</v>
      </c>
      <c r="O41" s="4" t="s">
        <v>265</v>
      </c>
    </row>
    <row r="42" spans="1:15" ht="22.05" customHeight="1" x14ac:dyDescent="0.25">
      <c r="A42" s="4">
        <v>40</v>
      </c>
      <c r="B42" s="9" t="s">
        <v>38</v>
      </c>
      <c r="C42" s="4">
        <v>4</v>
      </c>
      <c r="D42" s="4">
        <v>3</v>
      </c>
      <c r="E42" s="4">
        <v>1</v>
      </c>
      <c r="F42" s="4">
        <f t="shared" si="0"/>
        <v>4</v>
      </c>
      <c r="G42" s="4">
        <v>500</v>
      </c>
      <c r="H42" s="4">
        <f>F42*G42</f>
        <v>2000</v>
      </c>
      <c r="I42" s="14">
        <v>40</v>
      </c>
      <c r="J42" s="4" t="s">
        <v>20</v>
      </c>
      <c r="K42" s="4">
        <v>2000</v>
      </c>
      <c r="L42" s="4">
        <v>40</v>
      </c>
      <c r="M42" s="4" t="s">
        <v>266</v>
      </c>
      <c r="N42" s="4">
        <v>1000</v>
      </c>
      <c r="O42" s="4" t="s">
        <v>267</v>
      </c>
    </row>
    <row r="43" spans="1:15" ht="22.05" customHeight="1" x14ac:dyDescent="0.25">
      <c r="A43" s="4">
        <v>41</v>
      </c>
      <c r="B43" s="9" t="s">
        <v>98</v>
      </c>
      <c r="C43" s="4">
        <v>1</v>
      </c>
      <c r="D43" s="4">
        <v>1</v>
      </c>
      <c r="E43" s="4">
        <v>0</v>
      </c>
      <c r="F43" s="4">
        <f t="shared" si="0"/>
        <v>1</v>
      </c>
      <c r="G43" s="4">
        <v>500</v>
      </c>
      <c r="H43" s="4">
        <f>F43*G43</f>
        <v>500</v>
      </c>
      <c r="I43" s="14">
        <v>41</v>
      </c>
      <c r="J43" s="4" t="s">
        <v>24</v>
      </c>
      <c r="K43" s="4">
        <v>2000</v>
      </c>
      <c r="L43" s="4">
        <v>41</v>
      </c>
      <c r="M43" s="4" t="s">
        <v>268</v>
      </c>
      <c r="N43" s="4">
        <v>1000</v>
      </c>
      <c r="O43" s="4" t="s">
        <v>267</v>
      </c>
    </row>
    <row r="44" spans="1:15" ht="22.05" customHeight="1" x14ac:dyDescent="0.25">
      <c r="A44" s="4">
        <v>42</v>
      </c>
      <c r="B44" s="9" t="s">
        <v>73</v>
      </c>
      <c r="C44" s="4">
        <v>4</v>
      </c>
      <c r="D44" s="4">
        <v>2</v>
      </c>
      <c r="E44" s="4">
        <v>2</v>
      </c>
      <c r="F44" s="4">
        <f t="shared" si="0"/>
        <v>4</v>
      </c>
      <c r="G44" s="4">
        <v>500</v>
      </c>
      <c r="H44" s="4">
        <f>F44*G44</f>
        <v>2000</v>
      </c>
      <c r="I44" s="14">
        <v>42</v>
      </c>
      <c r="J44" s="4" t="s">
        <v>28</v>
      </c>
      <c r="K44" s="4">
        <v>2000</v>
      </c>
      <c r="L44" s="4">
        <v>42</v>
      </c>
      <c r="M44" s="4" t="s">
        <v>269</v>
      </c>
      <c r="N44" s="4">
        <v>1000</v>
      </c>
      <c r="O44" s="4" t="s">
        <v>270</v>
      </c>
    </row>
    <row r="45" spans="1:15" ht="22.05" customHeight="1" x14ac:dyDescent="0.25">
      <c r="A45" s="4">
        <v>43</v>
      </c>
      <c r="B45" s="9" t="s">
        <v>99</v>
      </c>
      <c r="C45" s="4">
        <v>1</v>
      </c>
      <c r="D45" s="4">
        <v>1</v>
      </c>
      <c r="E45" s="4">
        <v>0</v>
      </c>
      <c r="F45" s="4">
        <f t="shared" si="0"/>
        <v>1</v>
      </c>
      <c r="G45" s="4">
        <v>500</v>
      </c>
      <c r="H45" s="4">
        <f>F45*G45</f>
        <v>500</v>
      </c>
      <c r="I45" s="14">
        <v>43</v>
      </c>
      <c r="J45" s="4" t="s">
        <v>100</v>
      </c>
      <c r="K45" s="4">
        <v>2000</v>
      </c>
      <c r="L45" s="4">
        <v>43</v>
      </c>
      <c r="M45" s="4" t="s">
        <v>271</v>
      </c>
      <c r="N45" s="4">
        <v>1000</v>
      </c>
      <c r="O45" s="4" t="s">
        <v>272</v>
      </c>
    </row>
    <row r="46" spans="1:15" ht="22.05" customHeight="1" x14ac:dyDescent="0.25">
      <c r="A46" s="4">
        <v>44</v>
      </c>
      <c r="B46" s="9" t="s">
        <v>101</v>
      </c>
      <c r="C46" s="4">
        <v>5</v>
      </c>
      <c r="D46" s="4">
        <v>3</v>
      </c>
      <c r="E46" s="4">
        <v>2</v>
      </c>
      <c r="F46" s="4">
        <f t="shared" si="0"/>
        <v>5</v>
      </c>
      <c r="G46" s="4">
        <v>500</v>
      </c>
      <c r="H46" s="4">
        <f>F46*G46</f>
        <v>2500</v>
      </c>
      <c r="I46" s="14">
        <v>44</v>
      </c>
      <c r="J46" s="4" t="s">
        <v>102</v>
      </c>
      <c r="K46" s="4">
        <v>2000</v>
      </c>
      <c r="L46" s="4">
        <v>44</v>
      </c>
      <c r="M46" s="4" t="s">
        <v>273</v>
      </c>
      <c r="N46" s="4">
        <v>1000</v>
      </c>
      <c r="O46" s="4" t="s">
        <v>272</v>
      </c>
    </row>
    <row r="47" spans="1:15" ht="22.05" customHeight="1" x14ac:dyDescent="0.25">
      <c r="A47" s="4">
        <v>45</v>
      </c>
      <c r="B47" s="9" t="s">
        <v>103</v>
      </c>
      <c r="C47" s="4">
        <v>6</v>
      </c>
      <c r="D47" s="4">
        <v>4</v>
      </c>
      <c r="E47" s="4">
        <v>2</v>
      </c>
      <c r="F47" s="4">
        <f t="shared" si="0"/>
        <v>6</v>
      </c>
      <c r="G47" s="4">
        <v>500</v>
      </c>
      <c r="H47" s="4">
        <f>F47*G47</f>
        <v>3000</v>
      </c>
      <c r="I47" s="14">
        <v>45</v>
      </c>
      <c r="J47" s="4" t="s">
        <v>40</v>
      </c>
      <c r="K47" s="4">
        <v>2000</v>
      </c>
      <c r="L47" s="4">
        <v>45</v>
      </c>
      <c r="M47" s="4" t="s">
        <v>274</v>
      </c>
      <c r="N47" s="4">
        <v>1000</v>
      </c>
      <c r="O47" s="4" t="s">
        <v>275</v>
      </c>
    </row>
    <row r="48" spans="1:15" ht="22.05" customHeight="1" x14ac:dyDescent="0.25">
      <c r="A48" s="4">
        <v>46</v>
      </c>
      <c r="B48" s="9" t="s">
        <v>104</v>
      </c>
      <c r="C48" s="4">
        <v>4</v>
      </c>
      <c r="D48" s="4">
        <v>2</v>
      </c>
      <c r="E48" s="4">
        <v>2</v>
      </c>
      <c r="F48" s="4">
        <f t="shared" si="0"/>
        <v>4</v>
      </c>
      <c r="G48" s="4">
        <v>500</v>
      </c>
      <c r="H48" s="4">
        <f>F48*G48</f>
        <v>2000</v>
      </c>
      <c r="I48" s="14">
        <v>46</v>
      </c>
      <c r="J48" s="4" t="s">
        <v>44</v>
      </c>
      <c r="K48" s="4">
        <v>2000</v>
      </c>
      <c r="L48" s="4">
        <v>46</v>
      </c>
      <c r="M48" s="4" t="s">
        <v>276</v>
      </c>
      <c r="N48" s="4">
        <v>1000</v>
      </c>
      <c r="O48" s="4" t="s">
        <v>275</v>
      </c>
    </row>
    <row r="49" spans="1:15" ht="22.05" customHeight="1" x14ac:dyDescent="0.25">
      <c r="A49" s="4">
        <v>47</v>
      </c>
      <c r="B49" s="9" t="s">
        <v>105</v>
      </c>
      <c r="C49" s="4">
        <v>1</v>
      </c>
      <c r="D49" s="4">
        <v>0</v>
      </c>
      <c r="E49" s="4">
        <v>1</v>
      </c>
      <c r="F49" s="4">
        <f t="shared" si="0"/>
        <v>1</v>
      </c>
      <c r="G49" s="4">
        <v>500</v>
      </c>
      <c r="H49" s="4">
        <f>F49*G49</f>
        <v>500</v>
      </c>
      <c r="I49" s="14">
        <v>47</v>
      </c>
      <c r="J49" s="4" t="s">
        <v>17</v>
      </c>
      <c r="K49" s="4">
        <v>2000</v>
      </c>
      <c r="L49" s="4">
        <v>47</v>
      </c>
      <c r="M49" s="4" t="s">
        <v>277</v>
      </c>
      <c r="N49" s="4">
        <v>1000</v>
      </c>
      <c r="O49" s="4" t="s">
        <v>278</v>
      </c>
    </row>
    <row r="50" spans="1:15" ht="22.05" customHeight="1" x14ac:dyDescent="0.25">
      <c r="A50" s="4">
        <v>48</v>
      </c>
      <c r="B50" s="9" t="s">
        <v>106</v>
      </c>
      <c r="C50" s="4">
        <v>3</v>
      </c>
      <c r="D50" s="4">
        <v>1</v>
      </c>
      <c r="E50" s="4">
        <v>2</v>
      </c>
      <c r="F50" s="4">
        <f t="shared" si="0"/>
        <v>3</v>
      </c>
      <c r="G50" s="4">
        <v>500</v>
      </c>
      <c r="H50" s="4">
        <f>F50*G50</f>
        <v>1500</v>
      </c>
      <c r="I50" s="14">
        <v>48</v>
      </c>
      <c r="J50" s="4" t="s">
        <v>50</v>
      </c>
      <c r="K50" s="4">
        <v>2000</v>
      </c>
      <c r="L50" s="4">
        <v>48</v>
      </c>
      <c r="M50" s="4" t="s">
        <v>279</v>
      </c>
      <c r="N50" s="4">
        <v>1000</v>
      </c>
      <c r="O50" s="4" t="s">
        <v>278</v>
      </c>
    </row>
    <row r="51" spans="1:15" ht="22.05" customHeight="1" x14ac:dyDescent="0.25">
      <c r="A51" s="4">
        <v>49</v>
      </c>
      <c r="B51" s="9" t="s">
        <v>57</v>
      </c>
      <c r="C51" s="4">
        <v>4</v>
      </c>
      <c r="D51" s="4">
        <v>2</v>
      </c>
      <c r="E51" s="4">
        <v>2</v>
      </c>
      <c r="F51" s="4">
        <f t="shared" si="0"/>
        <v>4</v>
      </c>
      <c r="G51" s="4">
        <v>500</v>
      </c>
      <c r="H51" s="4">
        <f>F51*G51</f>
        <v>2000</v>
      </c>
      <c r="I51" s="14">
        <v>49</v>
      </c>
      <c r="J51" s="4" t="s">
        <v>54</v>
      </c>
      <c r="K51" s="4">
        <v>2000</v>
      </c>
      <c r="L51" s="4">
        <v>49</v>
      </c>
      <c r="M51" s="4" t="s">
        <v>280</v>
      </c>
      <c r="N51" s="4">
        <v>1000</v>
      </c>
      <c r="O51" s="4" t="s">
        <v>281</v>
      </c>
    </row>
    <row r="52" spans="1:15" ht="22.05" customHeight="1" x14ac:dyDescent="0.25">
      <c r="A52" s="4">
        <v>50</v>
      </c>
      <c r="B52" s="9" t="s">
        <v>11</v>
      </c>
      <c r="C52" s="4">
        <v>3</v>
      </c>
      <c r="D52" s="4">
        <v>2</v>
      </c>
      <c r="E52" s="4">
        <v>1</v>
      </c>
      <c r="F52" s="4">
        <f t="shared" si="0"/>
        <v>3</v>
      </c>
      <c r="G52" s="4">
        <v>500</v>
      </c>
      <c r="H52" s="4">
        <f>F52*G52</f>
        <v>1500</v>
      </c>
      <c r="I52" s="14">
        <v>50</v>
      </c>
      <c r="J52" s="4" t="s">
        <v>58</v>
      </c>
      <c r="K52" s="4">
        <v>2000</v>
      </c>
      <c r="L52" s="4">
        <v>50</v>
      </c>
      <c r="M52" s="4" t="s">
        <v>282</v>
      </c>
      <c r="N52" s="4">
        <v>1000</v>
      </c>
      <c r="O52" s="4" t="s">
        <v>283</v>
      </c>
    </row>
    <row r="53" spans="1:15" ht="22.05" customHeight="1" x14ac:dyDescent="0.25">
      <c r="A53" s="4">
        <v>51</v>
      </c>
      <c r="B53" s="9" t="s">
        <v>107</v>
      </c>
      <c r="C53" s="4">
        <v>4</v>
      </c>
      <c r="D53" s="4">
        <v>3</v>
      </c>
      <c r="E53" s="4">
        <v>1</v>
      </c>
      <c r="F53" s="4">
        <f t="shared" si="0"/>
        <v>4</v>
      </c>
      <c r="G53" s="4">
        <v>500</v>
      </c>
      <c r="H53" s="4">
        <f>F53*G53</f>
        <v>2000</v>
      </c>
      <c r="I53" s="14">
        <v>51</v>
      </c>
      <c r="J53" s="4" t="s">
        <v>60</v>
      </c>
      <c r="K53" s="4">
        <v>2000</v>
      </c>
      <c r="L53" s="4">
        <v>51</v>
      </c>
      <c r="M53" s="4" t="s">
        <v>284</v>
      </c>
      <c r="N53" s="4">
        <v>1000</v>
      </c>
      <c r="O53" s="4" t="s">
        <v>262</v>
      </c>
    </row>
    <row r="54" spans="1:15" ht="22.05" customHeight="1" x14ac:dyDescent="0.25">
      <c r="A54" s="4">
        <v>52</v>
      </c>
      <c r="B54" s="9" t="s">
        <v>80</v>
      </c>
      <c r="C54" s="4">
        <v>4</v>
      </c>
      <c r="D54" s="4">
        <v>3</v>
      </c>
      <c r="E54" s="4">
        <v>1</v>
      </c>
      <c r="F54" s="4">
        <f t="shared" si="0"/>
        <v>4</v>
      </c>
      <c r="G54" s="4">
        <v>500</v>
      </c>
      <c r="H54" s="4">
        <f>F54*G54</f>
        <v>2000</v>
      </c>
      <c r="I54" s="14">
        <v>52</v>
      </c>
      <c r="J54" s="4" t="s">
        <v>63</v>
      </c>
      <c r="K54" s="4">
        <v>2000</v>
      </c>
      <c r="L54" s="4">
        <v>52</v>
      </c>
      <c r="M54" s="4" t="s">
        <v>285</v>
      </c>
      <c r="N54" s="4">
        <v>1000</v>
      </c>
      <c r="O54" s="4" t="s">
        <v>286</v>
      </c>
    </row>
    <row r="55" spans="1:15" ht="22.05" customHeight="1" x14ac:dyDescent="0.25">
      <c r="A55" s="4">
        <v>53</v>
      </c>
      <c r="B55" s="9" t="s">
        <v>108</v>
      </c>
      <c r="C55" s="4">
        <v>3</v>
      </c>
      <c r="D55" s="4">
        <v>1</v>
      </c>
      <c r="E55" s="4">
        <v>2</v>
      </c>
      <c r="F55" s="4">
        <f t="shared" si="0"/>
        <v>3</v>
      </c>
      <c r="G55" s="4">
        <v>500</v>
      </c>
      <c r="H55" s="4">
        <f>F55*G55</f>
        <v>1500</v>
      </c>
      <c r="I55" s="14">
        <v>53</v>
      </c>
      <c r="J55" s="4" t="s">
        <v>66</v>
      </c>
      <c r="K55" s="4">
        <v>2000</v>
      </c>
      <c r="L55" s="4">
        <v>53</v>
      </c>
      <c r="M55" s="4" t="s">
        <v>287</v>
      </c>
      <c r="N55" s="4">
        <v>500</v>
      </c>
      <c r="O55" s="4" t="s">
        <v>288</v>
      </c>
    </row>
    <row r="56" spans="1:15" ht="22.05" customHeight="1" x14ac:dyDescent="0.25">
      <c r="A56" s="4">
        <v>54</v>
      </c>
      <c r="B56" s="9" t="s">
        <v>109</v>
      </c>
      <c r="C56" s="4">
        <v>5</v>
      </c>
      <c r="D56" s="4">
        <v>2</v>
      </c>
      <c r="E56" s="4">
        <v>3</v>
      </c>
      <c r="F56" s="4">
        <f t="shared" si="0"/>
        <v>5</v>
      </c>
      <c r="G56" s="4">
        <v>500</v>
      </c>
      <c r="H56" s="4">
        <f>F56*G56</f>
        <v>2500</v>
      </c>
      <c r="I56" s="14">
        <v>54</v>
      </c>
      <c r="J56" s="4" t="s">
        <v>69</v>
      </c>
      <c r="K56" s="4">
        <v>2000</v>
      </c>
      <c r="L56" s="4">
        <v>54</v>
      </c>
      <c r="M56" s="4" t="s">
        <v>289</v>
      </c>
      <c r="N56" s="4">
        <v>500</v>
      </c>
      <c r="O56" s="4" t="s">
        <v>290</v>
      </c>
    </row>
    <row r="57" spans="1:15" ht="22.05" customHeight="1" x14ac:dyDescent="0.25">
      <c r="A57" s="4">
        <v>55</v>
      </c>
      <c r="B57" s="9" t="s">
        <v>110</v>
      </c>
      <c r="C57" s="4">
        <v>5</v>
      </c>
      <c r="D57" s="4">
        <v>3</v>
      </c>
      <c r="E57" s="4">
        <v>2</v>
      </c>
      <c r="F57" s="4">
        <f t="shared" si="0"/>
        <v>5</v>
      </c>
      <c r="G57" s="4">
        <v>500</v>
      </c>
      <c r="H57" s="4">
        <f>F57*G57</f>
        <v>2500</v>
      </c>
      <c r="I57" s="14">
        <v>55</v>
      </c>
      <c r="J57" s="4" t="s">
        <v>47</v>
      </c>
      <c r="K57" s="4">
        <v>2000</v>
      </c>
      <c r="L57" s="4">
        <v>55</v>
      </c>
      <c r="M57" s="4" t="s">
        <v>291</v>
      </c>
      <c r="N57" s="4">
        <v>500</v>
      </c>
      <c r="O57" s="4" t="s">
        <v>290</v>
      </c>
    </row>
    <row r="58" spans="1:15" ht="22.05" customHeight="1" x14ac:dyDescent="0.25">
      <c r="A58" s="4">
        <v>56</v>
      </c>
      <c r="B58" s="9" t="s">
        <v>43</v>
      </c>
      <c r="C58" s="4">
        <v>5</v>
      </c>
      <c r="D58" s="4">
        <v>3</v>
      </c>
      <c r="E58" s="4">
        <v>2</v>
      </c>
      <c r="F58" s="4">
        <f t="shared" si="0"/>
        <v>5</v>
      </c>
      <c r="G58" s="4">
        <v>500</v>
      </c>
      <c r="H58" s="4">
        <f>F58*G58</f>
        <v>2500</v>
      </c>
      <c r="I58" s="14">
        <v>56</v>
      </c>
      <c r="J58" s="4" t="s">
        <v>74</v>
      </c>
      <c r="K58" s="4">
        <v>1000</v>
      </c>
      <c r="L58" s="4">
        <v>56</v>
      </c>
      <c r="M58" s="4" t="s">
        <v>292</v>
      </c>
      <c r="N58" s="4">
        <v>500</v>
      </c>
      <c r="O58" s="4" t="s">
        <v>293</v>
      </c>
    </row>
    <row r="59" spans="1:15" ht="22.05" customHeight="1" x14ac:dyDescent="0.25">
      <c r="A59" s="4">
        <v>57</v>
      </c>
      <c r="B59" s="9" t="s">
        <v>111</v>
      </c>
      <c r="C59" s="4">
        <v>3</v>
      </c>
      <c r="D59" s="4">
        <v>1</v>
      </c>
      <c r="E59" s="4">
        <v>2</v>
      </c>
      <c r="F59" s="4">
        <f t="shared" si="0"/>
        <v>3</v>
      </c>
      <c r="G59" s="4">
        <v>500</v>
      </c>
      <c r="H59" s="4">
        <f>F59*G59</f>
        <v>1500</v>
      </c>
      <c r="I59" s="14">
        <v>57</v>
      </c>
      <c r="J59" s="4" t="s">
        <v>77</v>
      </c>
      <c r="K59" s="4">
        <v>1000</v>
      </c>
      <c r="L59" s="4">
        <v>57</v>
      </c>
      <c r="M59" s="4" t="s">
        <v>294</v>
      </c>
      <c r="N59" s="4">
        <v>500</v>
      </c>
      <c r="O59" s="4" t="s">
        <v>293</v>
      </c>
    </row>
    <row r="60" spans="1:15" ht="22.05" customHeight="1" x14ac:dyDescent="0.25">
      <c r="A60" s="4">
        <v>58</v>
      </c>
      <c r="B60" s="9" t="s">
        <v>112</v>
      </c>
      <c r="C60" s="4">
        <v>4</v>
      </c>
      <c r="D60" s="4">
        <v>2</v>
      </c>
      <c r="E60" s="4">
        <v>2</v>
      </c>
      <c r="F60" s="4">
        <f t="shared" si="0"/>
        <v>4</v>
      </c>
      <c r="G60" s="4">
        <v>500</v>
      </c>
      <c r="H60" s="4">
        <f>F60*G60</f>
        <v>2000</v>
      </c>
      <c r="I60" s="14">
        <v>58</v>
      </c>
      <c r="J60" s="4" t="s">
        <v>80</v>
      </c>
      <c r="K60" s="4">
        <v>1000</v>
      </c>
      <c r="L60" s="4">
        <v>58</v>
      </c>
      <c r="M60" s="4" t="s">
        <v>295</v>
      </c>
      <c r="N60" s="4">
        <v>500</v>
      </c>
      <c r="O60" s="4" t="s">
        <v>222</v>
      </c>
    </row>
    <row r="61" spans="1:15" ht="22.05" customHeight="1" x14ac:dyDescent="0.25">
      <c r="A61" s="4">
        <v>59</v>
      </c>
      <c r="B61" s="9" t="s">
        <v>113</v>
      </c>
      <c r="C61" s="4">
        <v>1</v>
      </c>
      <c r="D61" s="4">
        <v>1</v>
      </c>
      <c r="E61" s="4">
        <v>0</v>
      </c>
      <c r="F61" s="4">
        <f t="shared" si="0"/>
        <v>1</v>
      </c>
      <c r="G61" s="4">
        <v>500</v>
      </c>
      <c r="H61" s="4">
        <f>F61*G61</f>
        <v>500</v>
      </c>
      <c r="I61" s="14">
        <v>59</v>
      </c>
      <c r="J61" s="4" t="s">
        <v>81</v>
      </c>
      <c r="K61" s="4">
        <v>1000</v>
      </c>
      <c r="L61" s="4">
        <v>59</v>
      </c>
      <c r="M61" s="4" t="s">
        <v>296</v>
      </c>
      <c r="N61" s="4">
        <v>500</v>
      </c>
      <c r="O61" s="4" t="s">
        <v>222</v>
      </c>
    </row>
    <row r="62" spans="1:15" ht="22.05" customHeight="1" x14ac:dyDescent="0.25">
      <c r="A62" s="4">
        <v>60</v>
      </c>
      <c r="B62" s="9" t="s">
        <v>114</v>
      </c>
      <c r="C62" s="4">
        <v>3</v>
      </c>
      <c r="D62" s="4">
        <v>1</v>
      </c>
      <c r="E62" s="4">
        <v>2</v>
      </c>
      <c r="F62" s="4">
        <f t="shared" si="0"/>
        <v>3</v>
      </c>
      <c r="G62" s="4">
        <v>500</v>
      </c>
      <c r="H62" s="4">
        <f>F62*G62</f>
        <v>1500</v>
      </c>
      <c r="I62" s="14">
        <v>60</v>
      </c>
      <c r="J62" s="4" t="s">
        <v>13</v>
      </c>
      <c r="K62" s="4">
        <v>1000</v>
      </c>
      <c r="L62" s="4">
        <v>60</v>
      </c>
      <c r="M62" s="4" t="s">
        <v>297</v>
      </c>
      <c r="N62" s="4">
        <v>500</v>
      </c>
      <c r="O62" s="4" t="s">
        <v>222</v>
      </c>
    </row>
    <row r="63" spans="1:15" ht="22.05" customHeight="1" x14ac:dyDescent="0.25">
      <c r="A63" s="4">
        <v>61</v>
      </c>
      <c r="B63" s="9" t="s">
        <v>22</v>
      </c>
      <c r="C63" s="4">
        <v>5</v>
      </c>
      <c r="D63" s="4">
        <v>2</v>
      </c>
      <c r="E63" s="4">
        <v>3</v>
      </c>
      <c r="F63" s="4">
        <f t="shared" si="0"/>
        <v>5</v>
      </c>
      <c r="G63" s="4">
        <v>500</v>
      </c>
      <c r="H63" s="4">
        <f>F63*G63</f>
        <v>2500</v>
      </c>
      <c r="I63" s="14">
        <v>61</v>
      </c>
      <c r="J63" s="4" t="s">
        <v>117</v>
      </c>
      <c r="K63" s="4">
        <v>2000</v>
      </c>
      <c r="L63" s="4">
        <v>61</v>
      </c>
      <c r="M63" s="4" t="s">
        <v>298</v>
      </c>
      <c r="N63" s="4">
        <v>500</v>
      </c>
      <c r="O63" s="4" t="s">
        <v>299</v>
      </c>
    </row>
    <row r="64" spans="1:15" ht="22.05" customHeight="1" x14ac:dyDescent="0.25">
      <c r="A64" s="4">
        <v>62</v>
      </c>
      <c r="B64" s="9" t="s">
        <v>116</v>
      </c>
      <c r="C64" s="4">
        <v>2</v>
      </c>
      <c r="D64" s="4">
        <v>1</v>
      </c>
      <c r="E64" s="4">
        <v>1</v>
      </c>
      <c r="F64" s="4">
        <f t="shared" si="0"/>
        <v>2</v>
      </c>
      <c r="G64" s="4">
        <v>500</v>
      </c>
      <c r="H64" s="4">
        <f>F64*G64</f>
        <v>1000</v>
      </c>
      <c r="I64" s="14">
        <v>62</v>
      </c>
      <c r="J64" s="4" t="s">
        <v>119</v>
      </c>
      <c r="K64" s="4">
        <v>2000</v>
      </c>
      <c r="L64" s="4">
        <v>62</v>
      </c>
      <c r="M64" s="4" t="s">
        <v>300</v>
      </c>
      <c r="N64" s="4">
        <v>500</v>
      </c>
      <c r="O64" s="4" t="s">
        <v>301</v>
      </c>
    </row>
    <row r="65" spans="1:15" ht="22.05" customHeight="1" x14ac:dyDescent="0.25">
      <c r="A65" s="4">
        <v>63</v>
      </c>
      <c r="B65" s="9" t="s">
        <v>118</v>
      </c>
      <c r="C65" s="4">
        <v>2</v>
      </c>
      <c r="D65" s="4">
        <v>2</v>
      </c>
      <c r="E65" s="4">
        <v>0</v>
      </c>
      <c r="F65" s="4">
        <f t="shared" si="0"/>
        <v>2</v>
      </c>
      <c r="G65" s="4">
        <v>500</v>
      </c>
      <c r="H65" s="4">
        <f>F65*G65</f>
        <v>1000</v>
      </c>
      <c r="I65" s="14">
        <v>63</v>
      </c>
      <c r="J65" s="4" t="s">
        <v>121</v>
      </c>
      <c r="K65" s="4">
        <v>2000</v>
      </c>
      <c r="L65" s="4">
        <v>63</v>
      </c>
      <c r="M65" s="4" t="s">
        <v>302</v>
      </c>
      <c r="N65" s="4">
        <v>500</v>
      </c>
      <c r="O65" s="4" t="s">
        <v>303</v>
      </c>
    </row>
    <row r="66" spans="1:15" ht="22.05" customHeight="1" x14ac:dyDescent="0.25">
      <c r="A66" s="4">
        <v>64</v>
      </c>
      <c r="B66" s="9" t="s">
        <v>120</v>
      </c>
      <c r="C66" s="4">
        <v>5</v>
      </c>
      <c r="D66" s="4">
        <v>1</v>
      </c>
      <c r="E66" s="4">
        <v>4</v>
      </c>
      <c r="F66" s="4">
        <f t="shared" si="0"/>
        <v>5</v>
      </c>
      <c r="G66" s="4">
        <v>500</v>
      </c>
      <c r="H66" s="4">
        <f>F66*G66</f>
        <v>2500</v>
      </c>
      <c r="I66" s="14">
        <v>64</v>
      </c>
      <c r="J66" s="4" t="s">
        <v>123</v>
      </c>
      <c r="K66" s="4">
        <v>1000</v>
      </c>
      <c r="L66" s="4">
        <v>64</v>
      </c>
      <c r="M66" s="4" t="s">
        <v>304</v>
      </c>
      <c r="N66" s="4">
        <v>500</v>
      </c>
      <c r="O66" s="4" t="s">
        <v>303</v>
      </c>
    </row>
    <row r="67" spans="1:15" ht="22.05" customHeight="1" x14ac:dyDescent="0.25">
      <c r="A67" s="4">
        <v>65</v>
      </c>
      <c r="B67" s="9" t="s">
        <v>122</v>
      </c>
      <c r="C67" s="4">
        <v>2</v>
      </c>
      <c r="D67" s="4">
        <v>1</v>
      </c>
      <c r="E67" s="4">
        <v>1</v>
      </c>
      <c r="F67" s="4">
        <f t="shared" si="0"/>
        <v>2</v>
      </c>
      <c r="G67" s="4">
        <v>500</v>
      </c>
      <c r="H67" s="4">
        <f>F67*G67</f>
        <v>1000</v>
      </c>
      <c r="I67" s="14">
        <v>65</v>
      </c>
      <c r="J67" s="3" t="s">
        <v>115</v>
      </c>
      <c r="K67" s="3">
        <v>1200</v>
      </c>
      <c r="L67" s="4">
        <v>65</v>
      </c>
      <c r="M67" s="4" t="s">
        <v>305</v>
      </c>
      <c r="N67" s="4">
        <v>500</v>
      </c>
      <c r="O67" s="4" t="s">
        <v>303</v>
      </c>
    </row>
    <row r="68" spans="1:15" ht="22.05" customHeight="1" x14ac:dyDescent="0.25">
      <c r="A68" s="4">
        <v>66</v>
      </c>
      <c r="B68" s="9" t="s">
        <v>124</v>
      </c>
      <c r="C68" s="4">
        <v>4</v>
      </c>
      <c r="D68" s="4">
        <v>2</v>
      </c>
      <c r="E68" s="4">
        <v>2</v>
      </c>
      <c r="F68" s="4">
        <f t="shared" ref="F68:F128" si="1">E68+D68</f>
        <v>4</v>
      </c>
      <c r="G68" s="4">
        <v>500</v>
      </c>
      <c r="H68" s="4">
        <f>F68*G68</f>
        <v>2000</v>
      </c>
      <c r="I68" s="4">
        <v>66</v>
      </c>
      <c r="L68" s="4">
        <v>66</v>
      </c>
      <c r="M68" s="4" t="s">
        <v>306</v>
      </c>
      <c r="N68" s="4">
        <v>500</v>
      </c>
      <c r="O68" s="4" t="s">
        <v>303</v>
      </c>
    </row>
    <row r="69" spans="1:15" ht="22.05" customHeight="1" x14ac:dyDescent="0.25">
      <c r="A69" s="4">
        <v>67</v>
      </c>
      <c r="B69" s="9" t="s">
        <v>125</v>
      </c>
      <c r="C69" s="4">
        <v>3</v>
      </c>
      <c r="D69" s="4">
        <v>2</v>
      </c>
      <c r="E69" s="4">
        <v>1</v>
      </c>
      <c r="F69" s="4">
        <f t="shared" si="1"/>
        <v>3</v>
      </c>
      <c r="G69" s="4">
        <v>500</v>
      </c>
      <c r="H69" s="4">
        <f>F69*G69</f>
        <v>1500</v>
      </c>
      <c r="I69" s="4">
        <v>67</v>
      </c>
      <c r="J69" s="3"/>
      <c r="K69" s="3"/>
      <c r="L69" s="4">
        <v>67</v>
      </c>
      <c r="M69" s="4" t="s">
        <v>307</v>
      </c>
      <c r="N69" s="4">
        <v>500</v>
      </c>
      <c r="O69" s="4" t="s">
        <v>241</v>
      </c>
    </row>
    <row r="70" spans="1:15" ht="22.05" customHeight="1" x14ac:dyDescent="0.25">
      <c r="A70" s="4">
        <v>68</v>
      </c>
      <c r="B70" s="9" t="s">
        <v>126</v>
      </c>
      <c r="C70" s="4">
        <v>5</v>
      </c>
      <c r="D70" s="4">
        <v>3</v>
      </c>
      <c r="E70" s="4">
        <v>2</v>
      </c>
      <c r="F70" s="4">
        <f t="shared" si="1"/>
        <v>5</v>
      </c>
      <c r="G70" s="4">
        <v>500</v>
      </c>
      <c r="H70" s="4">
        <f>F70*G70</f>
        <v>2500</v>
      </c>
      <c r="I70" s="4">
        <v>68</v>
      </c>
      <c r="J70" s="3"/>
      <c r="K70" s="3"/>
      <c r="L70" s="4">
        <v>68</v>
      </c>
      <c r="M70" s="4" t="s">
        <v>308</v>
      </c>
      <c r="N70" s="4">
        <v>500</v>
      </c>
      <c r="O70" s="4" t="s">
        <v>309</v>
      </c>
    </row>
    <row r="71" spans="1:15" ht="22.05" customHeight="1" x14ac:dyDescent="0.25">
      <c r="A71" s="4">
        <v>69</v>
      </c>
      <c r="B71" s="9" t="s">
        <v>81</v>
      </c>
      <c r="C71" s="4">
        <v>3</v>
      </c>
      <c r="D71" s="4">
        <v>2</v>
      </c>
      <c r="E71" s="4">
        <v>1</v>
      </c>
      <c r="F71" s="4">
        <f t="shared" si="1"/>
        <v>3</v>
      </c>
      <c r="G71" s="4">
        <v>500</v>
      </c>
      <c r="H71" s="4">
        <f>F71*G71</f>
        <v>1500</v>
      </c>
      <c r="I71" s="4">
        <v>69</v>
      </c>
      <c r="J71" s="3"/>
      <c r="K71" s="3"/>
      <c r="L71" s="4">
        <v>69</v>
      </c>
      <c r="M71" s="4" t="s">
        <v>310</v>
      </c>
      <c r="N71" s="4">
        <v>500</v>
      </c>
      <c r="O71" s="4" t="s">
        <v>311</v>
      </c>
    </row>
    <row r="72" spans="1:15" ht="22.05" customHeight="1" x14ac:dyDescent="0.25">
      <c r="A72" s="4">
        <v>70</v>
      </c>
      <c r="B72" s="9" t="s">
        <v>77</v>
      </c>
      <c r="C72" s="4">
        <v>3</v>
      </c>
      <c r="D72" s="4">
        <v>1</v>
      </c>
      <c r="E72" s="4">
        <v>2</v>
      </c>
      <c r="F72" s="4">
        <f t="shared" si="1"/>
        <v>3</v>
      </c>
      <c r="G72" s="4">
        <v>500</v>
      </c>
      <c r="H72" s="4">
        <f>F72*G72</f>
        <v>1500</v>
      </c>
      <c r="I72" s="4">
        <v>70</v>
      </c>
      <c r="J72" s="3"/>
      <c r="K72" s="3"/>
      <c r="L72" s="4">
        <v>70</v>
      </c>
      <c r="M72" s="4" t="s">
        <v>312</v>
      </c>
      <c r="N72" s="4">
        <v>500</v>
      </c>
      <c r="O72" s="4" t="s">
        <v>311</v>
      </c>
    </row>
    <row r="73" spans="1:15" ht="22.05" customHeight="1" x14ac:dyDescent="0.25">
      <c r="A73" s="4">
        <v>71</v>
      </c>
      <c r="B73" s="9" t="s">
        <v>127</v>
      </c>
      <c r="C73" s="4">
        <v>5</v>
      </c>
      <c r="D73" s="4">
        <v>2</v>
      </c>
      <c r="E73" s="4">
        <v>3</v>
      </c>
      <c r="F73" s="4">
        <f t="shared" si="1"/>
        <v>5</v>
      </c>
      <c r="G73" s="4">
        <v>500</v>
      </c>
      <c r="H73" s="4">
        <f>F73*G73</f>
        <v>2500</v>
      </c>
      <c r="I73" s="4">
        <v>71</v>
      </c>
      <c r="J73" s="3"/>
      <c r="K73" s="3"/>
      <c r="L73" s="4">
        <v>71</v>
      </c>
      <c r="M73" s="4" t="s">
        <v>313</v>
      </c>
      <c r="N73" s="4">
        <v>500</v>
      </c>
      <c r="O73" s="4" t="s">
        <v>311</v>
      </c>
    </row>
    <row r="74" spans="1:15" ht="22.05" customHeight="1" x14ac:dyDescent="0.25">
      <c r="A74" s="4">
        <v>72</v>
      </c>
      <c r="B74" s="9" t="s">
        <v>74</v>
      </c>
      <c r="C74" s="4">
        <v>4</v>
      </c>
      <c r="D74" s="4">
        <v>2</v>
      </c>
      <c r="E74" s="4">
        <v>2</v>
      </c>
      <c r="F74" s="4">
        <f t="shared" si="1"/>
        <v>4</v>
      </c>
      <c r="G74" s="4">
        <v>500</v>
      </c>
      <c r="H74" s="4">
        <f>F74*G74</f>
        <v>2000</v>
      </c>
      <c r="I74" s="4">
        <v>72</v>
      </c>
      <c r="J74" s="3"/>
      <c r="K74" s="3"/>
      <c r="L74" s="4">
        <v>72</v>
      </c>
      <c r="M74" s="4" t="s">
        <v>314</v>
      </c>
      <c r="N74" s="4">
        <v>500</v>
      </c>
      <c r="O74" s="4" t="s">
        <v>315</v>
      </c>
    </row>
    <row r="75" spans="1:15" ht="22.05" customHeight="1" x14ac:dyDescent="0.25">
      <c r="A75" s="4">
        <v>73</v>
      </c>
      <c r="B75" s="9" t="s">
        <v>128</v>
      </c>
      <c r="C75" s="4">
        <v>8</v>
      </c>
      <c r="D75" s="4">
        <v>6</v>
      </c>
      <c r="E75" s="4">
        <v>2</v>
      </c>
      <c r="F75" s="4">
        <f t="shared" si="1"/>
        <v>8</v>
      </c>
      <c r="G75" s="4">
        <v>500</v>
      </c>
      <c r="H75" s="4">
        <f>F75*G75</f>
        <v>4000</v>
      </c>
      <c r="I75" s="4">
        <v>73</v>
      </c>
      <c r="J75" s="3"/>
      <c r="K75" s="3"/>
      <c r="L75" s="4">
        <v>73</v>
      </c>
      <c r="M75" s="4" t="s">
        <v>316</v>
      </c>
      <c r="N75" s="4">
        <v>500</v>
      </c>
      <c r="O75" s="4" t="s">
        <v>317</v>
      </c>
    </row>
    <row r="76" spans="1:15" ht="22.05" customHeight="1" x14ac:dyDescent="0.25">
      <c r="A76" s="4">
        <v>74</v>
      </c>
      <c r="B76" s="9" t="s">
        <v>34</v>
      </c>
      <c r="C76" s="4">
        <v>10</v>
      </c>
      <c r="D76" s="4">
        <v>4</v>
      </c>
      <c r="E76" s="4">
        <v>6</v>
      </c>
      <c r="F76" s="4">
        <f t="shared" si="1"/>
        <v>10</v>
      </c>
      <c r="G76" s="4">
        <v>500</v>
      </c>
      <c r="H76" s="4">
        <f>F76*G76</f>
        <v>5000</v>
      </c>
      <c r="I76" s="4">
        <v>74</v>
      </c>
      <c r="J76" s="3"/>
      <c r="K76" s="3"/>
      <c r="L76" s="4">
        <v>74</v>
      </c>
      <c r="M76" s="4" t="s">
        <v>318</v>
      </c>
      <c r="N76" s="4">
        <v>500</v>
      </c>
      <c r="O76" s="4" t="s">
        <v>319</v>
      </c>
    </row>
    <row r="77" spans="1:15" ht="22.05" customHeight="1" x14ac:dyDescent="0.25">
      <c r="A77" s="4">
        <v>75</v>
      </c>
      <c r="B77" s="9" t="s">
        <v>129</v>
      </c>
      <c r="C77" s="4">
        <v>4</v>
      </c>
      <c r="D77" s="4">
        <v>2</v>
      </c>
      <c r="E77" s="4">
        <v>2</v>
      </c>
      <c r="F77" s="4">
        <f t="shared" si="1"/>
        <v>4</v>
      </c>
      <c r="G77" s="4">
        <v>500</v>
      </c>
      <c r="H77" s="4">
        <f>F77*G77</f>
        <v>2000</v>
      </c>
      <c r="I77" s="4">
        <v>75</v>
      </c>
      <c r="J77" s="3"/>
      <c r="K77" s="3"/>
      <c r="L77" s="4">
        <v>75</v>
      </c>
      <c r="M77" s="4" t="s">
        <v>320</v>
      </c>
      <c r="N77" s="4">
        <v>500</v>
      </c>
      <c r="O77" s="4" t="s">
        <v>321</v>
      </c>
    </row>
    <row r="78" spans="1:15" ht="22.05" customHeight="1" x14ac:dyDescent="0.25">
      <c r="A78" s="4">
        <v>76</v>
      </c>
      <c r="B78" s="9" t="s">
        <v>130</v>
      </c>
      <c r="C78" s="4">
        <v>4</v>
      </c>
      <c r="D78" s="4">
        <v>2</v>
      </c>
      <c r="E78" s="4">
        <v>2</v>
      </c>
      <c r="F78" s="4">
        <f t="shared" si="1"/>
        <v>4</v>
      </c>
      <c r="G78" s="4">
        <v>500</v>
      </c>
      <c r="H78" s="4">
        <f>F78*G78</f>
        <v>2000</v>
      </c>
      <c r="I78" s="4">
        <v>76</v>
      </c>
      <c r="J78" s="3"/>
      <c r="K78" s="3"/>
      <c r="L78" s="4">
        <v>76</v>
      </c>
      <c r="M78" s="4" t="s">
        <v>322</v>
      </c>
      <c r="N78" s="4">
        <v>500</v>
      </c>
      <c r="O78" s="4" t="s">
        <v>323</v>
      </c>
    </row>
    <row r="79" spans="1:15" ht="22.05" customHeight="1" x14ac:dyDescent="0.25">
      <c r="A79" s="4">
        <v>77</v>
      </c>
      <c r="B79" s="9" t="s">
        <v>131</v>
      </c>
      <c r="C79" s="4">
        <v>1</v>
      </c>
      <c r="D79" s="4">
        <v>1</v>
      </c>
      <c r="E79" s="4">
        <v>0</v>
      </c>
      <c r="F79" s="4">
        <f t="shared" si="1"/>
        <v>1</v>
      </c>
      <c r="G79" s="4">
        <v>500</v>
      </c>
      <c r="H79" s="4">
        <f>F79*G79</f>
        <v>500</v>
      </c>
      <c r="I79" s="4">
        <v>77</v>
      </c>
      <c r="J79" s="3"/>
      <c r="K79" s="3"/>
      <c r="L79" s="4">
        <v>77</v>
      </c>
      <c r="M79" s="4" t="s">
        <v>324</v>
      </c>
      <c r="N79" s="4">
        <v>500</v>
      </c>
      <c r="O79" s="4" t="s">
        <v>323</v>
      </c>
    </row>
    <row r="80" spans="1:15" ht="22.05" customHeight="1" x14ac:dyDescent="0.25">
      <c r="A80" s="4">
        <v>78</v>
      </c>
      <c r="B80" s="9" t="s">
        <v>132</v>
      </c>
      <c r="C80" s="4">
        <v>5</v>
      </c>
      <c r="D80" s="4">
        <v>3</v>
      </c>
      <c r="E80" s="4">
        <v>1</v>
      </c>
      <c r="F80" s="4">
        <f t="shared" si="1"/>
        <v>4</v>
      </c>
      <c r="G80" s="4">
        <v>500</v>
      </c>
      <c r="H80" s="4">
        <v>2500</v>
      </c>
      <c r="I80" s="4">
        <v>78</v>
      </c>
      <c r="J80" s="3"/>
      <c r="K80" s="3"/>
      <c r="L80" s="4">
        <v>78</v>
      </c>
      <c r="M80" s="4" t="s">
        <v>325</v>
      </c>
      <c r="N80" s="4">
        <v>500</v>
      </c>
      <c r="O80" s="4" t="s">
        <v>326</v>
      </c>
    </row>
    <row r="81" spans="1:15" ht="22.05" customHeight="1" x14ac:dyDescent="0.25">
      <c r="A81" s="4">
        <v>79</v>
      </c>
      <c r="B81" s="9" t="s">
        <v>133</v>
      </c>
      <c r="C81" s="4">
        <v>3</v>
      </c>
      <c r="D81" s="4">
        <v>2</v>
      </c>
      <c r="E81" s="4">
        <v>2</v>
      </c>
      <c r="F81" s="4">
        <f t="shared" si="1"/>
        <v>4</v>
      </c>
      <c r="G81" s="4">
        <v>500</v>
      </c>
      <c r="H81" s="4">
        <v>1500</v>
      </c>
      <c r="I81" s="4">
        <v>79</v>
      </c>
      <c r="J81" s="3"/>
      <c r="K81" s="3"/>
      <c r="L81" s="4">
        <v>79</v>
      </c>
      <c r="M81" s="4" t="s">
        <v>327</v>
      </c>
      <c r="N81" s="4">
        <v>500</v>
      </c>
      <c r="O81" s="4" t="s">
        <v>326</v>
      </c>
    </row>
    <row r="82" spans="1:15" ht="22.05" customHeight="1" x14ac:dyDescent="0.25">
      <c r="A82" s="4">
        <v>80</v>
      </c>
      <c r="B82" s="9" t="s">
        <v>134</v>
      </c>
      <c r="C82" s="4">
        <v>3</v>
      </c>
      <c r="D82" s="4">
        <v>1</v>
      </c>
      <c r="E82" s="4">
        <v>2</v>
      </c>
      <c r="F82" s="4">
        <f t="shared" si="1"/>
        <v>3</v>
      </c>
      <c r="G82" s="4">
        <v>500</v>
      </c>
      <c r="H82" s="4">
        <f>F82*G82</f>
        <v>1500</v>
      </c>
      <c r="I82" s="4">
        <v>80</v>
      </c>
      <c r="J82" s="3"/>
      <c r="K82" s="3"/>
      <c r="L82" s="4">
        <v>80</v>
      </c>
      <c r="M82" s="4" t="s">
        <v>328</v>
      </c>
      <c r="N82" s="4">
        <v>500</v>
      </c>
      <c r="O82" s="4" t="s">
        <v>326</v>
      </c>
    </row>
    <row r="83" spans="1:15" ht="22.05" customHeight="1" x14ac:dyDescent="0.25">
      <c r="A83" s="4">
        <v>81</v>
      </c>
      <c r="B83" s="9" t="s">
        <v>135</v>
      </c>
      <c r="C83" s="4">
        <v>3</v>
      </c>
      <c r="D83" s="4">
        <v>2</v>
      </c>
      <c r="E83" s="4">
        <v>1</v>
      </c>
      <c r="F83" s="4">
        <f t="shared" si="1"/>
        <v>3</v>
      </c>
      <c r="G83" s="4">
        <v>500</v>
      </c>
      <c r="H83" s="4">
        <f>F83*G83</f>
        <v>1500</v>
      </c>
      <c r="I83" s="4">
        <v>81</v>
      </c>
      <c r="J83" s="3"/>
      <c r="K83" s="3"/>
      <c r="L83" s="4">
        <v>81</v>
      </c>
      <c r="M83" s="4" t="s">
        <v>329</v>
      </c>
      <c r="N83" s="4">
        <v>500</v>
      </c>
      <c r="O83" s="4" t="s">
        <v>326</v>
      </c>
    </row>
    <row r="84" spans="1:15" ht="22.05" customHeight="1" x14ac:dyDescent="0.25">
      <c r="A84" s="4">
        <v>82</v>
      </c>
      <c r="B84" s="9" t="s">
        <v>31</v>
      </c>
      <c r="C84" s="4">
        <v>3</v>
      </c>
      <c r="D84" s="4">
        <v>2</v>
      </c>
      <c r="E84" s="4">
        <v>1</v>
      </c>
      <c r="F84" s="4">
        <f t="shared" si="1"/>
        <v>3</v>
      </c>
      <c r="G84" s="4">
        <v>500</v>
      </c>
      <c r="H84" s="4">
        <f>F84*G84</f>
        <v>1500</v>
      </c>
      <c r="I84" s="4">
        <v>82</v>
      </c>
      <c r="J84" s="3"/>
      <c r="K84" s="3"/>
      <c r="L84" s="4">
        <v>82</v>
      </c>
      <c r="M84" s="4" t="s">
        <v>330</v>
      </c>
      <c r="N84" s="4">
        <v>500</v>
      </c>
      <c r="O84" s="4" t="s">
        <v>331</v>
      </c>
    </row>
    <row r="85" spans="1:15" ht="22.05" customHeight="1" x14ac:dyDescent="0.25">
      <c r="A85" s="4">
        <v>83</v>
      </c>
      <c r="B85" s="9" t="s">
        <v>136</v>
      </c>
      <c r="C85" s="4">
        <v>4</v>
      </c>
      <c r="D85" s="4">
        <v>1</v>
      </c>
      <c r="E85" s="4">
        <v>3</v>
      </c>
      <c r="F85" s="4">
        <f t="shared" si="1"/>
        <v>4</v>
      </c>
      <c r="G85" s="4">
        <v>500</v>
      </c>
      <c r="H85" s="4">
        <f>F85*G85</f>
        <v>2000</v>
      </c>
      <c r="I85" s="4">
        <v>83</v>
      </c>
      <c r="J85" s="3"/>
      <c r="K85" s="3"/>
      <c r="L85" s="4">
        <v>83</v>
      </c>
      <c r="M85" s="4" t="s">
        <v>332</v>
      </c>
      <c r="N85" s="4">
        <v>500</v>
      </c>
      <c r="O85" s="4" t="s">
        <v>333</v>
      </c>
    </row>
    <row r="86" spans="1:15" ht="22.05" customHeight="1" x14ac:dyDescent="0.25">
      <c r="A86" s="4">
        <v>84</v>
      </c>
      <c r="B86" s="9" t="s">
        <v>137</v>
      </c>
      <c r="C86" s="4">
        <v>3</v>
      </c>
      <c r="D86" s="4">
        <v>2</v>
      </c>
      <c r="E86" s="4">
        <v>1</v>
      </c>
      <c r="F86" s="4">
        <f t="shared" si="1"/>
        <v>3</v>
      </c>
      <c r="G86" s="4">
        <v>500</v>
      </c>
      <c r="H86" s="4">
        <f>F86*G86</f>
        <v>1500</v>
      </c>
      <c r="I86" s="4">
        <v>84</v>
      </c>
      <c r="J86" s="3"/>
      <c r="K86" s="3"/>
      <c r="L86" s="4">
        <v>84</v>
      </c>
      <c r="M86" s="4" t="s">
        <v>334</v>
      </c>
      <c r="N86" s="4">
        <v>500</v>
      </c>
      <c r="O86" s="4" t="s">
        <v>333</v>
      </c>
    </row>
    <row r="87" spans="1:15" ht="22.05" customHeight="1" x14ac:dyDescent="0.25">
      <c r="A87" s="4">
        <v>85</v>
      </c>
      <c r="B87" s="9" t="s">
        <v>138</v>
      </c>
      <c r="C87" s="4">
        <v>3</v>
      </c>
      <c r="D87" s="4">
        <v>2</v>
      </c>
      <c r="E87" s="4">
        <v>1</v>
      </c>
      <c r="F87" s="4">
        <f t="shared" si="1"/>
        <v>3</v>
      </c>
      <c r="G87" s="4">
        <v>500</v>
      </c>
      <c r="H87" s="4">
        <f>F87*G87</f>
        <v>1500</v>
      </c>
      <c r="I87" s="4">
        <v>85</v>
      </c>
      <c r="J87" s="3"/>
      <c r="K87" s="3"/>
      <c r="L87" s="4">
        <v>85</v>
      </c>
      <c r="M87" s="4" t="s">
        <v>335</v>
      </c>
      <c r="N87" s="4">
        <v>500</v>
      </c>
      <c r="O87" s="4" t="s">
        <v>336</v>
      </c>
    </row>
    <row r="88" spans="1:15" ht="22.05" customHeight="1" x14ac:dyDescent="0.25">
      <c r="A88" s="4">
        <v>86</v>
      </c>
      <c r="B88" s="9" t="s">
        <v>139</v>
      </c>
      <c r="C88" s="4">
        <v>3</v>
      </c>
      <c r="D88" s="4">
        <v>2</v>
      </c>
      <c r="E88" s="4">
        <v>1</v>
      </c>
      <c r="F88" s="4">
        <f t="shared" si="1"/>
        <v>3</v>
      </c>
      <c r="G88" s="4">
        <v>500</v>
      </c>
      <c r="H88" s="4">
        <f>F88*G88</f>
        <v>1500</v>
      </c>
      <c r="I88" s="4">
        <v>86</v>
      </c>
      <c r="J88" s="3"/>
      <c r="K88" s="3"/>
      <c r="L88" s="4">
        <v>86</v>
      </c>
      <c r="M88" s="4" t="s">
        <v>337</v>
      </c>
      <c r="N88" s="4">
        <v>500</v>
      </c>
      <c r="O88" s="4" t="s">
        <v>338</v>
      </c>
    </row>
    <row r="89" spans="1:15" ht="22.05" customHeight="1" x14ac:dyDescent="0.25">
      <c r="A89" s="4">
        <v>87</v>
      </c>
      <c r="B89" s="9" t="s">
        <v>140</v>
      </c>
      <c r="C89" s="4">
        <v>2</v>
      </c>
      <c r="D89" s="4">
        <v>1</v>
      </c>
      <c r="E89" s="4">
        <v>1</v>
      </c>
      <c r="F89" s="4">
        <f t="shared" si="1"/>
        <v>2</v>
      </c>
      <c r="G89" s="4">
        <v>500</v>
      </c>
      <c r="H89" s="4">
        <f>F89*G89</f>
        <v>1000</v>
      </c>
      <c r="I89" s="4">
        <v>87</v>
      </c>
      <c r="J89" s="3"/>
      <c r="K89" s="3"/>
      <c r="L89" s="4">
        <v>87</v>
      </c>
      <c r="M89" s="4" t="s">
        <v>339</v>
      </c>
      <c r="N89" s="4">
        <v>500</v>
      </c>
      <c r="O89" s="4" t="s">
        <v>338</v>
      </c>
    </row>
    <row r="90" spans="1:15" ht="22.05" customHeight="1" x14ac:dyDescent="0.25">
      <c r="A90" s="4">
        <v>88</v>
      </c>
      <c r="B90" s="9" t="s">
        <v>10</v>
      </c>
      <c r="C90" s="4">
        <v>4</v>
      </c>
      <c r="D90" s="4">
        <v>2</v>
      </c>
      <c r="E90" s="4">
        <v>2</v>
      </c>
      <c r="F90" s="4">
        <f t="shared" si="1"/>
        <v>4</v>
      </c>
      <c r="G90" s="4">
        <v>500</v>
      </c>
      <c r="H90" s="4">
        <f>F90*G90</f>
        <v>2000</v>
      </c>
      <c r="I90" s="4">
        <v>88</v>
      </c>
      <c r="J90" s="3"/>
      <c r="K90" s="3"/>
      <c r="L90" s="4">
        <v>88</v>
      </c>
      <c r="M90" s="4" t="s">
        <v>340</v>
      </c>
      <c r="N90" s="4">
        <v>500</v>
      </c>
      <c r="O90" s="4" t="s">
        <v>341</v>
      </c>
    </row>
    <row r="91" spans="1:15" ht="22.05" customHeight="1" x14ac:dyDescent="0.25">
      <c r="A91" s="4">
        <v>89</v>
      </c>
      <c r="B91" s="9" t="s">
        <v>141</v>
      </c>
      <c r="C91" s="4">
        <v>3</v>
      </c>
      <c r="D91" s="4">
        <v>2</v>
      </c>
      <c r="E91" s="4">
        <v>1</v>
      </c>
      <c r="F91" s="4">
        <f t="shared" si="1"/>
        <v>3</v>
      </c>
      <c r="G91" s="4">
        <v>500</v>
      </c>
      <c r="H91" s="4">
        <f>F91*G91</f>
        <v>1500</v>
      </c>
      <c r="I91" s="4">
        <v>89</v>
      </c>
      <c r="J91" s="3"/>
      <c r="K91" s="3"/>
      <c r="L91" s="4">
        <v>89</v>
      </c>
      <c r="M91" s="4" t="s">
        <v>342</v>
      </c>
      <c r="N91" s="4">
        <v>500</v>
      </c>
      <c r="O91" s="4" t="s">
        <v>341</v>
      </c>
    </row>
    <row r="92" spans="1:15" ht="22.05" customHeight="1" x14ac:dyDescent="0.25">
      <c r="A92" s="4">
        <v>90</v>
      </c>
      <c r="B92" s="9" t="s">
        <v>142</v>
      </c>
      <c r="C92" s="4">
        <v>3</v>
      </c>
      <c r="D92" s="4">
        <v>1</v>
      </c>
      <c r="E92" s="4">
        <v>2</v>
      </c>
      <c r="F92" s="4">
        <f t="shared" si="1"/>
        <v>3</v>
      </c>
      <c r="G92" s="4">
        <v>500</v>
      </c>
      <c r="H92" s="4">
        <f>F92*G92</f>
        <v>1500</v>
      </c>
      <c r="I92" s="4">
        <v>90</v>
      </c>
      <c r="J92" s="3"/>
      <c r="K92" s="3"/>
      <c r="L92" s="4">
        <v>90</v>
      </c>
      <c r="M92" s="4" t="s">
        <v>343</v>
      </c>
      <c r="N92" s="4">
        <v>500</v>
      </c>
      <c r="O92" s="4" t="s">
        <v>344</v>
      </c>
    </row>
    <row r="93" spans="1:15" ht="22.05" customHeight="1" x14ac:dyDescent="0.25">
      <c r="A93" s="4">
        <v>91</v>
      </c>
      <c r="B93" s="9" t="s">
        <v>143</v>
      </c>
      <c r="C93" s="4">
        <v>3</v>
      </c>
      <c r="D93" s="4">
        <v>1</v>
      </c>
      <c r="E93" s="4">
        <v>2</v>
      </c>
      <c r="F93" s="4">
        <f t="shared" si="1"/>
        <v>3</v>
      </c>
      <c r="G93" s="4">
        <v>500</v>
      </c>
      <c r="H93" s="4">
        <f>F93*G93</f>
        <v>1500</v>
      </c>
      <c r="I93" s="4">
        <v>91</v>
      </c>
      <c r="J93" s="3"/>
      <c r="K93" s="3"/>
      <c r="L93" s="4">
        <v>91</v>
      </c>
      <c r="M93" s="4" t="s">
        <v>345</v>
      </c>
      <c r="N93" s="4">
        <v>500</v>
      </c>
      <c r="O93" s="4" t="s">
        <v>346</v>
      </c>
    </row>
    <row r="94" spans="1:15" ht="22.05" customHeight="1" x14ac:dyDescent="0.25">
      <c r="A94" s="4">
        <v>92</v>
      </c>
      <c r="B94" s="9" t="s">
        <v>144</v>
      </c>
      <c r="C94" s="4">
        <v>2</v>
      </c>
      <c r="D94" s="4">
        <v>0</v>
      </c>
      <c r="E94" s="4">
        <v>2</v>
      </c>
      <c r="F94" s="4">
        <f t="shared" si="1"/>
        <v>2</v>
      </c>
      <c r="G94" s="4">
        <v>500</v>
      </c>
      <c r="H94" s="4">
        <f>F94*G94</f>
        <v>1000</v>
      </c>
      <c r="I94" s="4">
        <v>92</v>
      </c>
      <c r="J94" s="3"/>
      <c r="K94" s="3"/>
      <c r="L94" s="4">
        <v>92</v>
      </c>
      <c r="M94" s="4" t="s">
        <v>347</v>
      </c>
      <c r="N94" s="4">
        <v>500</v>
      </c>
      <c r="O94" s="4" t="s">
        <v>346</v>
      </c>
    </row>
    <row r="95" spans="1:15" ht="22.05" customHeight="1" x14ac:dyDescent="0.25">
      <c r="A95" s="4">
        <v>93</v>
      </c>
      <c r="B95" s="9" t="s">
        <v>145</v>
      </c>
      <c r="C95" s="4">
        <v>2</v>
      </c>
      <c r="D95" s="4">
        <v>1</v>
      </c>
      <c r="E95" s="4">
        <v>1</v>
      </c>
      <c r="F95" s="4">
        <f t="shared" si="1"/>
        <v>2</v>
      </c>
      <c r="G95" s="4">
        <v>500</v>
      </c>
      <c r="H95" s="4">
        <f>F95*G95</f>
        <v>1000</v>
      </c>
      <c r="I95" s="4">
        <v>93</v>
      </c>
      <c r="J95" s="3"/>
      <c r="K95" s="3"/>
      <c r="L95" s="4">
        <v>93</v>
      </c>
      <c r="M95" s="4" t="s">
        <v>348</v>
      </c>
      <c r="N95" s="4">
        <v>500</v>
      </c>
      <c r="O95" s="4" t="s">
        <v>349</v>
      </c>
    </row>
    <row r="96" spans="1:15" ht="22.05" customHeight="1" x14ac:dyDescent="0.25">
      <c r="A96" s="4">
        <v>94</v>
      </c>
      <c r="B96" s="9" t="s">
        <v>18</v>
      </c>
      <c r="C96" s="4">
        <v>5</v>
      </c>
      <c r="D96" s="4">
        <v>2</v>
      </c>
      <c r="E96" s="4">
        <v>3</v>
      </c>
      <c r="F96" s="4">
        <f t="shared" si="1"/>
        <v>5</v>
      </c>
      <c r="G96" s="4">
        <v>500</v>
      </c>
      <c r="H96" s="4">
        <f>F96*G96</f>
        <v>2500</v>
      </c>
      <c r="I96" s="4">
        <v>94</v>
      </c>
      <c r="J96" s="3"/>
      <c r="K96" s="3"/>
      <c r="L96" s="4">
        <v>94</v>
      </c>
      <c r="M96" s="4" t="s">
        <v>350</v>
      </c>
      <c r="N96" s="4">
        <v>500</v>
      </c>
      <c r="O96" s="4" t="s">
        <v>349</v>
      </c>
    </row>
    <row r="97" spans="1:15" ht="22.05" customHeight="1" x14ac:dyDescent="0.25">
      <c r="A97" s="4">
        <v>95</v>
      </c>
      <c r="B97" s="9" t="s">
        <v>28</v>
      </c>
      <c r="C97" s="4">
        <v>2</v>
      </c>
      <c r="D97" s="4">
        <v>1</v>
      </c>
      <c r="E97" s="4">
        <v>1</v>
      </c>
      <c r="F97" s="4">
        <f t="shared" si="1"/>
        <v>2</v>
      </c>
      <c r="G97" s="4">
        <v>500</v>
      </c>
      <c r="H97" s="4">
        <f>F97*G97</f>
        <v>1000</v>
      </c>
      <c r="I97" s="4">
        <v>95</v>
      </c>
      <c r="J97" s="3"/>
      <c r="K97" s="3"/>
      <c r="L97" s="4">
        <v>95</v>
      </c>
      <c r="M97" s="4" t="s">
        <v>351</v>
      </c>
      <c r="N97" s="4">
        <v>500</v>
      </c>
      <c r="O97" s="4" t="s">
        <v>349</v>
      </c>
    </row>
    <row r="98" spans="1:15" ht="22.05" customHeight="1" x14ac:dyDescent="0.25">
      <c r="A98" s="4">
        <v>96</v>
      </c>
      <c r="B98" s="9" t="s">
        <v>36</v>
      </c>
      <c r="C98" s="4">
        <v>2</v>
      </c>
      <c r="D98" s="4">
        <v>1</v>
      </c>
      <c r="E98" s="4">
        <v>1</v>
      </c>
      <c r="F98" s="4">
        <f t="shared" si="1"/>
        <v>2</v>
      </c>
      <c r="G98" s="4">
        <v>500</v>
      </c>
      <c r="H98" s="4">
        <f>F98*G98</f>
        <v>1000</v>
      </c>
      <c r="I98" s="4">
        <v>96</v>
      </c>
      <c r="J98" s="3"/>
      <c r="K98" s="3"/>
      <c r="L98" s="4">
        <v>96</v>
      </c>
      <c r="M98" s="4" t="s">
        <v>352</v>
      </c>
      <c r="N98" s="4">
        <v>500</v>
      </c>
      <c r="O98" s="4" t="s">
        <v>353</v>
      </c>
    </row>
    <row r="99" spans="1:15" ht="22.05" customHeight="1" x14ac:dyDescent="0.25">
      <c r="A99" s="4">
        <v>97</v>
      </c>
      <c r="B99" s="9" t="s">
        <v>32</v>
      </c>
      <c r="C99" s="4">
        <v>2</v>
      </c>
      <c r="D99" s="4">
        <v>1</v>
      </c>
      <c r="E99" s="4">
        <v>1</v>
      </c>
      <c r="F99" s="4">
        <f t="shared" si="1"/>
        <v>2</v>
      </c>
      <c r="G99" s="4">
        <v>500</v>
      </c>
      <c r="H99" s="4">
        <f>F99*G99</f>
        <v>1000</v>
      </c>
      <c r="I99" s="4">
        <v>97</v>
      </c>
      <c r="J99" s="3"/>
      <c r="K99" s="3"/>
      <c r="L99" s="4">
        <v>97</v>
      </c>
      <c r="M99" s="4" t="s">
        <v>354</v>
      </c>
      <c r="N99" s="4">
        <v>500</v>
      </c>
      <c r="O99" s="4" t="s">
        <v>353</v>
      </c>
    </row>
    <row r="100" spans="1:15" ht="22.05" customHeight="1" x14ac:dyDescent="0.25">
      <c r="A100" s="4">
        <v>98</v>
      </c>
      <c r="B100" s="9" t="s">
        <v>146</v>
      </c>
      <c r="C100" s="4">
        <v>6</v>
      </c>
      <c r="D100" s="4">
        <v>2</v>
      </c>
      <c r="E100" s="4">
        <v>4</v>
      </c>
      <c r="F100" s="4">
        <f t="shared" si="1"/>
        <v>6</v>
      </c>
      <c r="G100" s="4">
        <v>500</v>
      </c>
      <c r="H100" s="4">
        <f>F100*G100</f>
        <v>3000</v>
      </c>
      <c r="I100" s="4">
        <v>98</v>
      </c>
      <c r="J100" s="3"/>
      <c r="K100" s="3"/>
      <c r="L100" s="4">
        <v>98</v>
      </c>
      <c r="M100" s="4" t="s">
        <v>355</v>
      </c>
      <c r="N100" s="4">
        <v>500</v>
      </c>
      <c r="O100" s="4" t="s">
        <v>353</v>
      </c>
    </row>
    <row r="101" spans="1:15" ht="22.05" customHeight="1" x14ac:dyDescent="0.25">
      <c r="A101" s="4">
        <v>99</v>
      </c>
      <c r="B101" s="9" t="s">
        <v>60</v>
      </c>
      <c r="C101" s="4">
        <v>5</v>
      </c>
      <c r="D101" s="4">
        <v>3</v>
      </c>
      <c r="E101" s="4">
        <v>2</v>
      </c>
      <c r="F101" s="4">
        <f t="shared" si="1"/>
        <v>5</v>
      </c>
      <c r="G101" s="4">
        <v>500</v>
      </c>
      <c r="H101" s="4">
        <f>F101*G101</f>
        <v>2500</v>
      </c>
      <c r="I101" s="4">
        <v>99</v>
      </c>
      <c r="J101" s="3"/>
      <c r="K101" s="3"/>
      <c r="L101" s="4">
        <v>99</v>
      </c>
      <c r="M101" s="4" t="s">
        <v>356</v>
      </c>
      <c r="N101" s="4">
        <v>500</v>
      </c>
      <c r="O101" s="4" t="s">
        <v>357</v>
      </c>
    </row>
    <row r="102" spans="1:15" ht="22.05" customHeight="1" x14ac:dyDescent="0.25">
      <c r="A102" s="4">
        <v>100</v>
      </c>
      <c r="B102" s="9" t="s">
        <v>147</v>
      </c>
      <c r="C102" s="4">
        <v>5</v>
      </c>
      <c r="D102" s="4">
        <v>3</v>
      </c>
      <c r="E102" s="4">
        <v>2</v>
      </c>
      <c r="F102" s="4">
        <f t="shared" si="1"/>
        <v>5</v>
      </c>
      <c r="G102" s="4">
        <v>500</v>
      </c>
      <c r="H102" s="4">
        <f>F102*G102</f>
        <v>2500</v>
      </c>
      <c r="I102" s="4">
        <v>100</v>
      </c>
      <c r="J102" s="3"/>
      <c r="K102" s="3"/>
      <c r="L102" s="4">
        <v>100</v>
      </c>
      <c r="M102" s="4" t="s">
        <v>358</v>
      </c>
      <c r="N102" s="4">
        <v>500</v>
      </c>
      <c r="O102" s="4" t="s">
        <v>359</v>
      </c>
    </row>
    <row r="103" spans="1:15" ht="22.05" customHeight="1" x14ac:dyDescent="0.25">
      <c r="A103" s="4">
        <v>101</v>
      </c>
      <c r="B103" s="9" t="s">
        <v>148</v>
      </c>
      <c r="C103" s="4">
        <v>5</v>
      </c>
      <c r="D103" s="4">
        <v>2</v>
      </c>
      <c r="E103" s="4">
        <v>3</v>
      </c>
      <c r="F103" s="4">
        <f t="shared" si="1"/>
        <v>5</v>
      </c>
      <c r="G103" s="4">
        <v>500</v>
      </c>
      <c r="H103" s="4">
        <f>F103*G103</f>
        <v>2500</v>
      </c>
      <c r="I103" s="4">
        <v>101</v>
      </c>
      <c r="J103" s="3"/>
      <c r="K103" s="3"/>
      <c r="L103" s="4">
        <v>101</v>
      </c>
      <c r="M103" s="4" t="s">
        <v>360</v>
      </c>
      <c r="N103" s="4">
        <v>500</v>
      </c>
      <c r="O103" s="4" t="s">
        <v>361</v>
      </c>
    </row>
    <row r="104" spans="1:15" ht="22.05" customHeight="1" x14ac:dyDescent="0.25">
      <c r="A104" s="4">
        <v>102</v>
      </c>
      <c r="B104" s="9" t="s">
        <v>149</v>
      </c>
      <c r="C104" s="4">
        <v>4</v>
      </c>
      <c r="D104" s="4">
        <v>2</v>
      </c>
      <c r="E104" s="4">
        <v>2</v>
      </c>
      <c r="F104" s="4">
        <f t="shared" si="1"/>
        <v>4</v>
      </c>
      <c r="G104" s="4">
        <v>500</v>
      </c>
      <c r="H104" s="4">
        <f>F104*G104</f>
        <v>2000</v>
      </c>
      <c r="I104" s="4">
        <v>102</v>
      </c>
      <c r="J104" s="3"/>
      <c r="K104" s="3"/>
      <c r="L104" s="4">
        <v>102</v>
      </c>
      <c r="M104" s="4" t="s">
        <v>362</v>
      </c>
      <c r="N104" s="4">
        <v>500</v>
      </c>
      <c r="O104" s="4" t="s">
        <v>363</v>
      </c>
    </row>
    <row r="105" spans="1:15" ht="22.05" customHeight="1" x14ac:dyDescent="0.25">
      <c r="A105" s="4">
        <v>103</v>
      </c>
      <c r="B105" s="9" t="s">
        <v>48</v>
      </c>
      <c r="C105" s="4">
        <v>4</v>
      </c>
      <c r="D105" s="4">
        <v>2</v>
      </c>
      <c r="E105" s="4">
        <v>2</v>
      </c>
      <c r="F105" s="4">
        <f t="shared" si="1"/>
        <v>4</v>
      </c>
      <c r="G105" s="4">
        <v>500</v>
      </c>
      <c r="H105" s="4">
        <f>F105*G105</f>
        <v>2000</v>
      </c>
      <c r="I105" s="4">
        <v>103</v>
      </c>
      <c r="J105" s="3"/>
      <c r="K105" s="3"/>
      <c r="L105" s="4">
        <v>103</v>
      </c>
      <c r="M105" s="4" t="s">
        <v>364</v>
      </c>
      <c r="N105" s="4">
        <v>500</v>
      </c>
      <c r="O105" s="4" t="s">
        <v>365</v>
      </c>
    </row>
    <row r="106" spans="1:15" ht="22.05" customHeight="1" x14ac:dyDescent="0.25">
      <c r="A106" s="4">
        <v>104</v>
      </c>
      <c r="B106" s="9" t="s">
        <v>150</v>
      </c>
      <c r="C106" s="4">
        <v>2</v>
      </c>
      <c r="D106" s="4">
        <v>1</v>
      </c>
      <c r="E106" s="4">
        <v>1</v>
      </c>
      <c r="F106" s="4">
        <f t="shared" si="1"/>
        <v>2</v>
      </c>
      <c r="G106" s="4">
        <v>500</v>
      </c>
      <c r="H106" s="4">
        <f>F106*G106</f>
        <v>1000</v>
      </c>
      <c r="I106" s="4">
        <v>104</v>
      </c>
      <c r="J106" s="3"/>
      <c r="K106" s="3"/>
      <c r="L106" s="4">
        <v>104</v>
      </c>
      <c r="M106" s="4" t="s">
        <v>366</v>
      </c>
      <c r="N106" s="4">
        <v>500</v>
      </c>
      <c r="O106" s="4" t="s">
        <v>367</v>
      </c>
    </row>
    <row r="107" spans="1:15" ht="22.05" customHeight="1" x14ac:dyDescent="0.25">
      <c r="A107" s="4">
        <v>105</v>
      </c>
      <c r="B107" s="9" t="s">
        <v>151</v>
      </c>
      <c r="C107" s="4">
        <v>2</v>
      </c>
      <c r="D107" s="4">
        <v>1</v>
      </c>
      <c r="E107" s="4">
        <v>1</v>
      </c>
      <c r="F107" s="4">
        <f t="shared" si="1"/>
        <v>2</v>
      </c>
      <c r="G107" s="4">
        <v>500</v>
      </c>
      <c r="H107" s="4">
        <f>F107*G107</f>
        <v>1000</v>
      </c>
      <c r="I107" s="4">
        <v>105</v>
      </c>
      <c r="J107" s="3"/>
      <c r="K107" s="3"/>
      <c r="L107" s="4">
        <v>105</v>
      </c>
      <c r="M107" s="4" t="s">
        <v>368</v>
      </c>
      <c r="N107" s="4">
        <v>500</v>
      </c>
      <c r="O107" s="4" t="s">
        <v>369</v>
      </c>
    </row>
    <row r="108" spans="1:15" ht="22.05" customHeight="1" x14ac:dyDescent="0.25">
      <c r="A108" s="4">
        <v>106</v>
      </c>
      <c r="B108" s="9" t="s">
        <v>152</v>
      </c>
      <c r="C108" s="4">
        <v>4</v>
      </c>
      <c r="D108" s="4">
        <v>1</v>
      </c>
      <c r="E108" s="4">
        <v>3</v>
      </c>
      <c r="F108" s="4">
        <f t="shared" si="1"/>
        <v>4</v>
      </c>
      <c r="G108" s="4">
        <v>500</v>
      </c>
      <c r="H108" s="4">
        <f>F108*G108</f>
        <v>2000</v>
      </c>
      <c r="I108" s="4">
        <v>106</v>
      </c>
      <c r="J108" s="3"/>
      <c r="K108" s="3"/>
      <c r="L108" s="4">
        <v>106</v>
      </c>
      <c r="M108" s="4" t="s">
        <v>370</v>
      </c>
      <c r="N108" s="4">
        <v>500</v>
      </c>
      <c r="O108" s="4" t="s">
        <v>371</v>
      </c>
    </row>
    <row r="109" spans="1:15" ht="22.05" customHeight="1" x14ac:dyDescent="0.25">
      <c r="A109" s="4">
        <v>107</v>
      </c>
      <c r="B109" s="9" t="s">
        <v>153</v>
      </c>
      <c r="C109" s="4">
        <v>3</v>
      </c>
      <c r="D109" s="4">
        <v>1</v>
      </c>
      <c r="E109" s="4">
        <v>2</v>
      </c>
      <c r="F109" s="4">
        <f t="shared" si="1"/>
        <v>3</v>
      </c>
      <c r="G109" s="4">
        <v>500</v>
      </c>
      <c r="H109" s="4">
        <f>F109*G109</f>
        <v>1500</v>
      </c>
      <c r="I109" s="4">
        <v>107</v>
      </c>
      <c r="J109" s="3"/>
      <c r="K109" s="3"/>
      <c r="L109" s="4">
        <v>107</v>
      </c>
      <c r="M109" s="4" t="s">
        <v>372</v>
      </c>
      <c r="N109" s="4">
        <v>500</v>
      </c>
      <c r="O109" s="4" t="s">
        <v>371</v>
      </c>
    </row>
    <row r="110" spans="1:15" ht="22.05" customHeight="1" x14ac:dyDescent="0.25">
      <c r="A110" s="4">
        <v>108</v>
      </c>
      <c r="B110" s="9" t="s">
        <v>154</v>
      </c>
      <c r="C110" s="4">
        <v>2</v>
      </c>
      <c r="D110" s="4">
        <v>1</v>
      </c>
      <c r="E110" s="4">
        <v>1</v>
      </c>
      <c r="F110" s="4">
        <f t="shared" si="1"/>
        <v>2</v>
      </c>
      <c r="G110" s="4">
        <v>500</v>
      </c>
      <c r="H110" s="4">
        <f>F110*G110</f>
        <v>1000</v>
      </c>
      <c r="I110" s="4">
        <v>108</v>
      </c>
      <c r="J110" s="3"/>
      <c r="K110" s="3"/>
      <c r="L110" s="4">
        <v>108</v>
      </c>
      <c r="M110" s="4" t="s">
        <v>373</v>
      </c>
      <c r="N110" s="4">
        <v>500</v>
      </c>
      <c r="O110" s="4" t="s">
        <v>371</v>
      </c>
    </row>
    <row r="111" spans="1:15" ht="22.05" customHeight="1" x14ac:dyDescent="0.25">
      <c r="A111" s="4">
        <v>109</v>
      </c>
      <c r="B111" s="9" t="s">
        <v>155</v>
      </c>
      <c r="C111" s="4">
        <v>4</v>
      </c>
      <c r="D111" s="4">
        <v>1</v>
      </c>
      <c r="E111" s="4">
        <v>3</v>
      </c>
      <c r="F111" s="4">
        <f t="shared" si="1"/>
        <v>4</v>
      </c>
      <c r="G111" s="4">
        <v>500</v>
      </c>
      <c r="H111" s="4">
        <f>F111*G111</f>
        <v>2000</v>
      </c>
      <c r="I111" s="4">
        <v>109</v>
      </c>
      <c r="J111" s="3"/>
      <c r="K111" s="3"/>
      <c r="L111" s="4">
        <v>109</v>
      </c>
      <c r="M111" s="4" t="s">
        <v>374</v>
      </c>
      <c r="N111" s="4">
        <v>500</v>
      </c>
      <c r="O111" s="4" t="s">
        <v>371</v>
      </c>
    </row>
    <row r="112" spans="1:15" ht="22.05" customHeight="1" x14ac:dyDescent="0.25">
      <c r="A112" s="4">
        <v>110</v>
      </c>
      <c r="B112" s="9" t="s">
        <v>42</v>
      </c>
      <c r="C112" s="4">
        <v>4</v>
      </c>
      <c r="D112" s="4">
        <v>2</v>
      </c>
      <c r="E112" s="4">
        <v>2</v>
      </c>
      <c r="F112" s="4">
        <f t="shared" si="1"/>
        <v>4</v>
      </c>
      <c r="G112" s="4">
        <v>500</v>
      </c>
      <c r="H112" s="4">
        <f>F112*G112</f>
        <v>2000</v>
      </c>
      <c r="I112" s="4">
        <v>110</v>
      </c>
      <c r="J112" s="3"/>
      <c r="K112" s="3"/>
      <c r="L112" s="4">
        <v>110</v>
      </c>
      <c r="M112" s="4" t="s">
        <v>375</v>
      </c>
      <c r="N112" s="4">
        <v>500</v>
      </c>
      <c r="O112" s="4" t="s">
        <v>371</v>
      </c>
    </row>
    <row r="113" spans="1:15" ht="22.05" customHeight="1" x14ac:dyDescent="0.25">
      <c r="A113" s="4">
        <v>111</v>
      </c>
      <c r="B113" s="9" t="s">
        <v>156</v>
      </c>
      <c r="C113" s="4">
        <v>3</v>
      </c>
      <c r="D113" s="4">
        <v>1</v>
      </c>
      <c r="E113" s="4">
        <v>2</v>
      </c>
      <c r="F113" s="4">
        <f t="shared" si="1"/>
        <v>3</v>
      </c>
      <c r="G113" s="4">
        <v>500</v>
      </c>
      <c r="H113" s="4">
        <f>F113*G113</f>
        <v>1500</v>
      </c>
      <c r="I113" s="4">
        <v>111</v>
      </c>
      <c r="J113" s="3"/>
      <c r="K113" s="3"/>
      <c r="L113" s="4">
        <v>111</v>
      </c>
      <c r="M113" s="4" t="s">
        <v>376</v>
      </c>
      <c r="N113" s="4">
        <v>500</v>
      </c>
      <c r="O113" s="4" t="s">
        <v>377</v>
      </c>
    </row>
    <row r="114" spans="1:15" ht="22.05" customHeight="1" x14ac:dyDescent="0.25">
      <c r="A114" s="4">
        <v>112</v>
      </c>
      <c r="B114" s="9" t="s">
        <v>157</v>
      </c>
      <c r="C114" s="4">
        <v>2</v>
      </c>
      <c r="D114" s="4">
        <v>1</v>
      </c>
      <c r="E114" s="4">
        <v>1</v>
      </c>
      <c r="F114" s="4">
        <f t="shared" si="1"/>
        <v>2</v>
      </c>
      <c r="G114" s="4">
        <v>500</v>
      </c>
      <c r="H114" s="4">
        <f>F114*G114</f>
        <v>1000</v>
      </c>
      <c r="I114" s="4">
        <v>112</v>
      </c>
      <c r="J114" s="3"/>
      <c r="K114" s="3"/>
      <c r="L114" s="4">
        <v>112</v>
      </c>
      <c r="M114" s="4" t="s">
        <v>378</v>
      </c>
      <c r="N114" s="4">
        <v>500</v>
      </c>
      <c r="O114" s="4" t="s">
        <v>379</v>
      </c>
    </row>
    <row r="115" spans="1:15" ht="22.05" customHeight="1" x14ac:dyDescent="0.25">
      <c r="A115" s="4">
        <v>113</v>
      </c>
      <c r="B115" s="9" t="s">
        <v>158</v>
      </c>
      <c r="C115" s="4">
        <v>4</v>
      </c>
      <c r="D115" s="4">
        <v>2</v>
      </c>
      <c r="E115" s="4">
        <v>2</v>
      </c>
      <c r="F115" s="4">
        <f t="shared" si="1"/>
        <v>4</v>
      </c>
      <c r="G115" s="4">
        <v>500</v>
      </c>
      <c r="H115" s="4">
        <f>F115*G115</f>
        <v>2000</v>
      </c>
      <c r="I115" s="4">
        <v>113</v>
      </c>
      <c r="J115" s="3"/>
      <c r="K115" s="3"/>
      <c r="L115" s="4">
        <v>113</v>
      </c>
      <c r="M115" s="4" t="s">
        <v>380</v>
      </c>
      <c r="N115" s="4">
        <v>500</v>
      </c>
      <c r="O115" s="4" t="s">
        <v>381</v>
      </c>
    </row>
    <row r="116" spans="1:15" ht="22.05" customHeight="1" x14ac:dyDescent="0.25">
      <c r="A116" s="4">
        <v>114</v>
      </c>
      <c r="B116" s="9" t="s">
        <v>159</v>
      </c>
      <c r="C116" s="4">
        <v>4</v>
      </c>
      <c r="D116" s="4">
        <v>2</v>
      </c>
      <c r="E116" s="4">
        <v>2</v>
      </c>
      <c r="F116" s="4">
        <f t="shared" si="1"/>
        <v>4</v>
      </c>
      <c r="G116" s="4">
        <v>500</v>
      </c>
      <c r="H116" s="4">
        <f>F116*G116</f>
        <v>2000</v>
      </c>
      <c r="I116" s="4">
        <v>114</v>
      </c>
      <c r="J116" s="3"/>
      <c r="K116" s="3"/>
      <c r="L116" s="4">
        <v>114</v>
      </c>
      <c r="M116" s="4" t="s">
        <v>382</v>
      </c>
      <c r="N116" s="4">
        <v>500</v>
      </c>
      <c r="O116" s="4" t="s">
        <v>383</v>
      </c>
    </row>
    <row r="117" spans="1:15" ht="22.05" customHeight="1" x14ac:dyDescent="0.25">
      <c r="A117" s="4">
        <v>115</v>
      </c>
      <c r="B117" s="9" t="s">
        <v>160</v>
      </c>
      <c r="C117" s="4">
        <v>1</v>
      </c>
      <c r="D117" s="4">
        <v>0</v>
      </c>
      <c r="E117" s="4">
        <v>1</v>
      </c>
      <c r="F117" s="4">
        <f t="shared" si="1"/>
        <v>1</v>
      </c>
      <c r="G117" s="4">
        <v>500</v>
      </c>
      <c r="H117" s="4">
        <f>F117*G117</f>
        <v>500</v>
      </c>
      <c r="I117" s="4">
        <v>115</v>
      </c>
      <c r="J117" s="3"/>
      <c r="K117" s="3"/>
      <c r="L117" s="4">
        <v>115</v>
      </c>
      <c r="M117" s="4" t="s">
        <v>384</v>
      </c>
      <c r="N117" s="4">
        <v>500</v>
      </c>
      <c r="O117" s="4" t="s">
        <v>385</v>
      </c>
    </row>
    <row r="118" spans="1:15" ht="22.05" customHeight="1" x14ac:dyDescent="0.25">
      <c r="A118" s="4">
        <v>116</v>
      </c>
      <c r="B118" s="9" t="s">
        <v>123</v>
      </c>
      <c r="C118" s="4">
        <v>4</v>
      </c>
      <c r="D118" s="4">
        <v>2</v>
      </c>
      <c r="E118" s="4">
        <v>2</v>
      </c>
      <c r="F118" s="4">
        <f t="shared" si="1"/>
        <v>4</v>
      </c>
      <c r="G118" s="4">
        <v>500</v>
      </c>
      <c r="H118" s="4">
        <f>F118*G118</f>
        <v>2000</v>
      </c>
      <c r="I118" s="4">
        <v>116</v>
      </c>
      <c r="J118" s="3"/>
      <c r="K118" s="3"/>
      <c r="L118" s="4">
        <v>116</v>
      </c>
      <c r="M118" s="4" t="s">
        <v>386</v>
      </c>
      <c r="N118" s="4">
        <v>500</v>
      </c>
      <c r="O118" s="4" t="s">
        <v>387</v>
      </c>
    </row>
    <row r="119" spans="1:15" ht="22.05" customHeight="1" x14ac:dyDescent="0.25">
      <c r="A119" s="4">
        <v>117</v>
      </c>
      <c r="B119" s="9" t="s">
        <v>161</v>
      </c>
      <c r="C119" s="4">
        <v>1</v>
      </c>
      <c r="D119" s="4">
        <v>0</v>
      </c>
      <c r="E119" s="4">
        <v>1</v>
      </c>
      <c r="F119" s="4">
        <f t="shared" si="1"/>
        <v>1</v>
      </c>
      <c r="G119" s="4">
        <v>500</v>
      </c>
      <c r="H119" s="4">
        <f>F119*G119</f>
        <v>500</v>
      </c>
      <c r="I119" s="4">
        <v>117</v>
      </c>
      <c r="J119" s="3"/>
      <c r="K119" s="3"/>
      <c r="L119" s="4">
        <v>117</v>
      </c>
      <c r="M119" s="4" t="s">
        <v>388</v>
      </c>
      <c r="N119" s="4">
        <v>500</v>
      </c>
      <c r="O119" s="4" t="s">
        <v>389</v>
      </c>
    </row>
    <row r="120" spans="1:15" ht="22.05" customHeight="1" x14ac:dyDescent="0.25">
      <c r="A120" s="4">
        <v>118</v>
      </c>
      <c r="B120" s="9" t="s">
        <v>27</v>
      </c>
      <c r="C120" s="4">
        <v>5</v>
      </c>
      <c r="D120" s="4">
        <v>2</v>
      </c>
      <c r="E120" s="4">
        <v>3</v>
      </c>
      <c r="F120" s="4">
        <f t="shared" si="1"/>
        <v>5</v>
      </c>
      <c r="G120" s="4">
        <v>500</v>
      </c>
      <c r="H120" s="4">
        <f>F120*G120</f>
        <v>2500</v>
      </c>
      <c r="I120" s="4">
        <v>118</v>
      </c>
      <c r="J120" s="3"/>
      <c r="K120" s="3"/>
      <c r="L120" s="4">
        <v>118</v>
      </c>
      <c r="M120" s="4" t="s">
        <v>390</v>
      </c>
      <c r="N120" s="4">
        <v>500</v>
      </c>
      <c r="O120" s="4" t="s">
        <v>391</v>
      </c>
    </row>
    <row r="121" spans="1:15" ht="22.05" customHeight="1" x14ac:dyDescent="0.25">
      <c r="A121" s="4">
        <v>119</v>
      </c>
      <c r="B121" s="9" t="s">
        <v>162</v>
      </c>
      <c r="C121" s="4">
        <v>6</v>
      </c>
      <c r="D121" s="4">
        <v>4</v>
      </c>
      <c r="E121" s="4">
        <v>2</v>
      </c>
      <c r="F121" s="4">
        <f t="shared" si="1"/>
        <v>6</v>
      </c>
      <c r="G121" s="4">
        <v>500</v>
      </c>
      <c r="H121" s="4">
        <f>F121*G121</f>
        <v>3000</v>
      </c>
      <c r="I121" s="4">
        <v>119</v>
      </c>
      <c r="J121" s="3"/>
      <c r="K121" s="3"/>
      <c r="L121" s="4">
        <v>119</v>
      </c>
      <c r="M121" s="4" t="s">
        <v>392</v>
      </c>
      <c r="N121" s="4">
        <v>500</v>
      </c>
      <c r="O121" s="4" t="s">
        <v>393</v>
      </c>
    </row>
    <row r="122" spans="1:15" ht="22.05" customHeight="1" x14ac:dyDescent="0.25">
      <c r="A122" s="4">
        <v>120</v>
      </c>
      <c r="B122" s="9" t="s">
        <v>163</v>
      </c>
      <c r="C122" s="4">
        <v>6</v>
      </c>
      <c r="D122" s="4">
        <v>3</v>
      </c>
      <c r="E122" s="4">
        <v>3</v>
      </c>
      <c r="F122" s="4">
        <f t="shared" si="1"/>
        <v>6</v>
      </c>
      <c r="G122" s="4">
        <v>500</v>
      </c>
      <c r="H122" s="4">
        <f>F122*G122</f>
        <v>3000</v>
      </c>
      <c r="I122" s="4">
        <v>120</v>
      </c>
      <c r="J122" s="3"/>
      <c r="K122" s="3"/>
      <c r="L122" s="4">
        <v>120</v>
      </c>
      <c r="M122" s="4" t="s">
        <v>394</v>
      </c>
      <c r="N122" s="4">
        <v>500</v>
      </c>
      <c r="O122" s="4" t="s">
        <v>395</v>
      </c>
    </row>
    <row r="123" spans="1:15" ht="22.05" customHeight="1" x14ac:dyDescent="0.25">
      <c r="A123" s="4">
        <v>121</v>
      </c>
      <c r="B123" s="9" t="s">
        <v>164</v>
      </c>
      <c r="C123" s="4">
        <v>4</v>
      </c>
      <c r="D123" s="4">
        <v>2</v>
      </c>
      <c r="E123" s="4">
        <v>2</v>
      </c>
      <c r="F123" s="4">
        <f t="shared" si="1"/>
        <v>4</v>
      </c>
      <c r="G123" s="4">
        <v>500</v>
      </c>
      <c r="H123" s="4">
        <f>F123*G123</f>
        <v>2000</v>
      </c>
      <c r="I123" s="4">
        <v>121</v>
      </c>
      <c r="J123" s="3"/>
      <c r="K123" s="3"/>
      <c r="L123" s="4">
        <v>121</v>
      </c>
      <c r="M123" s="4" t="s">
        <v>396</v>
      </c>
      <c r="N123" s="4">
        <v>500</v>
      </c>
      <c r="O123" s="4" t="s">
        <v>395</v>
      </c>
    </row>
    <row r="124" spans="1:15" ht="22.05" customHeight="1" x14ac:dyDescent="0.25">
      <c r="A124" s="4">
        <v>122</v>
      </c>
      <c r="B124" s="9" t="s">
        <v>165</v>
      </c>
      <c r="C124" s="4">
        <v>6</v>
      </c>
      <c r="D124" s="4">
        <v>4</v>
      </c>
      <c r="E124" s="4">
        <v>2</v>
      </c>
      <c r="F124" s="4">
        <f t="shared" si="1"/>
        <v>6</v>
      </c>
      <c r="G124" s="4">
        <v>500</v>
      </c>
      <c r="H124" s="4">
        <f>F124*G124</f>
        <v>3000</v>
      </c>
      <c r="I124" s="4">
        <v>122</v>
      </c>
      <c r="J124" s="3"/>
      <c r="K124" s="3"/>
      <c r="L124" s="4">
        <v>122</v>
      </c>
      <c r="M124" s="4" t="s">
        <v>397</v>
      </c>
      <c r="N124" s="4">
        <v>500</v>
      </c>
      <c r="O124" s="4" t="s">
        <v>398</v>
      </c>
    </row>
    <row r="125" spans="1:15" ht="22.05" customHeight="1" x14ac:dyDescent="0.25">
      <c r="A125" s="4">
        <v>123</v>
      </c>
      <c r="B125" s="9" t="s">
        <v>166</v>
      </c>
      <c r="C125" s="4">
        <v>1</v>
      </c>
      <c r="D125" s="4">
        <v>1</v>
      </c>
      <c r="E125" s="4">
        <v>0</v>
      </c>
      <c r="F125" s="4">
        <f t="shared" si="1"/>
        <v>1</v>
      </c>
      <c r="G125" s="4">
        <v>500</v>
      </c>
      <c r="H125" s="4">
        <f>F125*G125</f>
        <v>500</v>
      </c>
      <c r="I125" s="4">
        <v>123</v>
      </c>
      <c r="J125" s="3"/>
      <c r="K125" s="3"/>
      <c r="L125" s="4">
        <v>123</v>
      </c>
      <c r="M125" s="4" t="s">
        <v>399</v>
      </c>
      <c r="N125" s="4">
        <v>500</v>
      </c>
      <c r="O125" s="4" t="s">
        <v>400</v>
      </c>
    </row>
    <row r="126" spans="1:15" ht="22.05" customHeight="1" x14ac:dyDescent="0.25">
      <c r="A126" s="4">
        <v>124</v>
      </c>
      <c r="B126" s="9" t="s">
        <v>167</v>
      </c>
      <c r="C126" s="4">
        <v>2</v>
      </c>
      <c r="D126" s="4">
        <v>1</v>
      </c>
      <c r="E126" s="4">
        <v>1</v>
      </c>
      <c r="F126" s="4">
        <f t="shared" si="1"/>
        <v>2</v>
      </c>
      <c r="G126" s="4">
        <v>500</v>
      </c>
      <c r="H126" s="4">
        <f>F126*G126</f>
        <v>1000</v>
      </c>
      <c r="I126" s="4">
        <v>124</v>
      </c>
      <c r="J126" s="3"/>
      <c r="K126" s="3"/>
      <c r="L126" s="4">
        <v>124</v>
      </c>
      <c r="M126" s="4" t="s">
        <v>401</v>
      </c>
      <c r="N126" s="4">
        <v>500</v>
      </c>
      <c r="O126" s="4" t="s">
        <v>400</v>
      </c>
    </row>
    <row r="127" spans="1:15" ht="22.05" customHeight="1" x14ac:dyDescent="0.25">
      <c r="A127" s="4">
        <v>125</v>
      </c>
      <c r="B127" s="9" t="s">
        <v>168</v>
      </c>
      <c r="C127" s="4">
        <v>3</v>
      </c>
      <c r="D127" s="4">
        <v>2</v>
      </c>
      <c r="E127" s="4">
        <v>1</v>
      </c>
      <c r="F127" s="4">
        <f t="shared" si="1"/>
        <v>3</v>
      </c>
      <c r="G127" s="4">
        <v>500</v>
      </c>
      <c r="H127" s="4">
        <f>F127*G127</f>
        <v>1500</v>
      </c>
      <c r="I127" s="4">
        <v>125</v>
      </c>
      <c r="J127" s="3"/>
      <c r="K127" s="3"/>
      <c r="L127" s="4">
        <v>125</v>
      </c>
      <c r="M127" s="4" t="s">
        <v>402</v>
      </c>
      <c r="N127" s="4">
        <v>500</v>
      </c>
      <c r="O127" s="4" t="s">
        <v>403</v>
      </c>
    </row>
    <row r="128" spans="1:15" ht="22.05" customHeight="1" x14ac:dyDescent="0.25">
      <c r="A128" s="4">
        <v>126</v>
      </c>
      <c r="B128" s="9" t="s">
        <v>169</v>
      </c>
      <c r="C128" s="4">
        <v>5</v>
      </c>
      <c r="D128" s="4">
        <v>3</v>
      </c>
      <c r="E128" s="4">
        <v>2</v>
      </c>
      <c r="F128" s="4">
        <f t="shared" si="1"/>
        <v>5</v>
      </c>
      <c r="G128" s="4">
        <v>500</v>
      </c>
      <c r="H128" s="4">
        <f>F128*G128</f>
        <v>2500</v>
      </c>
      <c r="I128" s="4">
        <v>126</v>
      </c>
      <c r="J128" s="3"/>
      <c r="K128" s="3"/>
      <c r="L128" s="4">
        <v>126</v>
      </c>
      <c r="M128" s="4" t="s">
        <v>404</v>
      </c>
      <c r="N128" s="4">
        <v>500</v>
      </c>
      <c r="O128" s="4" t="s">
        <v>405</v>
      </c>
    </row>
    <row r="129" spans="1:15" ht="22.05" customHeight="1" x14ac:dyDescent="0.25">
      <c r="A129" s="4">
        <v>127</v>
      </c>
      <c r="B129" s="9" t="s">
        <v>170</v>
      </c>
      <c r="C129" s="4">
        <v>4</v>
      </c>
      <c r="D129" s="4">
        <v>3</v>
      </c>
      <c r="E129" s="4">
        <v>1</v>
      </c>
      <c r="F129" s="4">
        <f>E129+D129</f>
        <v>4</v>
      </c>
      <c r="G129" s="4">
        <v>500</v>
      </c>
      <c r="H129" s="4">
        <f>F129*G129</f>
        <v>2000</v>
      </c>
      <c r="I129" s="4">
        <v>127</v>
      </c>
      <c r="J129" s="3"/>
      <c r="K129" s="3"/>
      <c r="L129" s="4">
        <v>127</v>
      </c>
      <c r="M129" s="4" t="s">
        <v>406</v>
      </c>
      <c r="N129" s="4">
        <v>500</v>
      </c>
      <c r="O129" s="4" t="s">
        <v>407</v>
      </c>
    </row>
    <row r="130" spans="1:15" ht="22.05" customHeight="1" x14ac:dyDescent="0.25">
      <c r="A130" s="4">
        <v>128</v>
      </c>
      <c r="B130" s="9" t="s">
        <v>171</v>
      </c>
      <c r="C130" s="4">
        <v>5</v>
      </c>
      <c r="D130" s="4">
        <v>2</v>
      </c>
      <c r="E130" s="4">
        <v>3</v>
      </c>
      <c r="F130" s="4">
        <f t="shared" ref="F130:F144" si="2">E130+D130</f>
        <v>5</v>
      </c>
      <c r="G130" s="4">
        <v>500</v>
      </c>
      <c r="H130" s="4">
        <f>F130*G130</f>
        <v>2500</v>
      </c>
      <c r="I130" s="4">
        <v>128</v>
      </c>
      <c r="J130" s="3"/>
      <c r="K130" s="3"/>
      <c r="L130" s="4">
        <v>128</v>
      </c>
      <c r="M130" s="4" t="s">
        <v>408</v>
      </c>
      <c r="N130" s="4">
        <v>500</v>
      </c>
      <c r="O130" s="4" t="s">
        <v>407</v>
      </c>
    </row>
    <row r="131" spans="1:15" ht="22.05" customHeight="1" x14ac:dyDescent="0.25">
      <c r="A131" s="4">
        <v>129</v>
      </c>
      <c r="B131" s="9" t="s">
        <v>172</v>
      </c>
      <c r="C131" s="4">
        <v>2</v>
      </c>
      <c r="D131" s="4">
        <v>1</v>
      </c>
      <c r="E131" s="4">
        <v>1</v>
      </c>
      <c r="F131" s="4">
        <f t="shared" si="2"/>
        <v>2</v>
      </c>
      <c r="G131" s="4">
        <v>500</v>
      </c>
      <c r="H131" s="4">
        <f>F131*G131</f>
        <v>1000</v>
      </c>
      <c r="I131" s="4">
        <v>129</v>
      </c>
      <c r="J131" s="3"/>
      <c r="K131" s="3"/>
      <c r="L131" s="4">
        <v>129</v>
      </c>
      <c r="M131" s="4" t="s">
        <v>409</v>
      </c>
      <c r="N131" s="4">
        <v>500</v>
      </c>
      <c r="O131" s="4" t="s">
        <v>410</v>
      </c>
    </row>
    <row r="132" spans="1:15" ht="22.05" customHeight="1" x14ac:dyDescent="0.25">
      <c r="A132" s="4">
        <v>130</v>
      </c>
      <c r="B132" s="9" t="s">
        <v>173</v>
      </c>
      <c r="C132" s="4">
        <v>2</v>
      </c>
      <c r="D132" s="4">
        <v>1</v>
      </c>
      <c r="E132" s="4">
        <v>1</v>
      </c>
      <c r="F132" s="4">
        <f t="shared" si="2"/>
        <v>2</v>
      </c>
      <c r="G132" s="4">
        <v>500</v>
      </c>
      <c r="H132" s="4">
        <f>F132*G132</f>
        <v>1000</v>
      </c>
      <c r="I132" s="4">
        <v>130</v>
      </c>
      <c r="J132" s="3"/>
      <c r="K132" s="3"/>
      <c r="L132" s="4">
        <v>130</v>
      </c>
      <c r="M132" s="4" t="s">
        <v>411</v>
      </c>
      <c r="N132" s="4">
        <v>500</v>
      </c>
      <c r="O132" s="4" t="s">
        <v>412</v>
      </c>
    </row>
    <row r="133" spans="1:15" ht="22.05" customHeight="1" x14ac:dyDescent="0.25">
      <c r="A133" s="4">
        <v>131</v>
      </c>
      <c r="B133" s="9" t="s">
        <v>76</v>
      </c>
      <c r="C133" s="4">
        <v>4</v>
      </c>
      <c r="D133" s="4">
        <v>2</v>
      </c>
      <c r="E133" s="4">
        <v>2</v>
      </c>
      <c r="F133" s="4">
        <f t="shared" si="2"/>
        <v>4</v>
      </c>
      <c r="G133" s="4">
        <v>500</v>
      </c>
      <c r="H133" s="4">
        <f>F133*G133</f>
        <v>2000</v>
      </c>
      <c r="I133" s="4">
        <v>131</v>
      </c>
      <c r="J133" s="3"/>
      <c r="K133" s="3"/>
      <c r="L133" s="4">
        <v>131</v>
      </c>
      <c r="M133" s="4" t="s">
        <v>413</v>
      </c>
      <c r="N133" s="4">
        <v>500</v>
      </c>
      <c r="O133" s="4" t="s">
        <v>412</v>
      </c>
    </row>
    <row r="134" spans="1:15" ht="22.05" customHeight="1" x14ac:dyDescent="0.25">
      <c r="A134" s="4">
        <v>132</v>
      </c>
      <c r="B134" s="9" t="s">
        <v>30</v>
      </c>
      <c r="C134" s="4">
        <v>3</v>
      </c>
      <c r="D134" s="4">
        <v>2</v>
      </c>
      <c r="E134" s="4">
        <v>1</v>
      </c>
      <c r="F134" s="4">
        <f t="shared" si="2"/>
        <v>3</v>
      </c>
      <c r="G134" s="4">
        <v>500</v>
      </c>
      <c r="H134" s="4">
        <f>F134*G134</f>
        <v>1500</v>
      </c>
      <c r="I134" s="4">
        <v>132</v>
      </c>
      <c r="J134" s="3"/>
      <c r="K134" s="3"/>
      <c r="L134" s="4">
        <v>132</v>
      </c>
      <c r="M134" s="4" t="s">
        <v>414</v>
      </c>
      <c r="N134" s="4">
        <v>500</v>
      </c>
      <c r="O134" s="4" t="s">
        <v>415</v>
      </c>
    </row>
    <row r="135" spans="1:15" ht="22.05" customHeight="1" x14ac:dyDescent="0.25">
      <c r="A135" s="4">
        <v>133</v>
      </c>
      <c r="B135" s="9" t="s">
        <v>174</v>
      </c>
      <c r="C135" s="4">
        <v>3</v>
      </c>
      <c r="D135" s="4">
        <v>1</v>
      </c>
      <c r="E135" s="4">
        <v>2</v>
      </c>
      <c r="F135" s="4">
        <f t="shared" si="2"/>
        <v>3</v>
      </c>
      <c r="G135" s="4">
        <v>500</v>
      </c>
      <c r="H135" s="4">
        <f>F135*G135</f>
        <v>1500</v>
      </c>
      <c r="I135" s="4">
        <v>133</v>
      </c>
      <c r="J135" s="3"/>
      <c r="K135" s="3"/>
      <c r="L135" s="4">
        <v>133</v>
      </c>
      <c r="M135" s="4" t="s">
        <v>416</v>
      </c>
      <c r="N135" s="4">
        <v>500</v>
      </c>
      <c r="O135" s="4" t="s">
        <v>415</v>
      </c>
    </row>
    <row r="136" spans="1:15" ht="22.05" customHeight="1" x14ac:dyDescent="0.25">
      <c r="A136" s="4">
        <v>134</v>
      </c>
      <c r="B136" s="9" t="s">
        <v>175</v>
      </c>
      <c r="C136" s="4">
        <v>1</v>
      </c>
      <c r="D136" s="4">
        <v>0</v>
      </c>
      <c r="E136" s="4">
        <v>1</v>
      </c>
      <c r="F136" s="4">
        <f t="shared" si="2"/>
        <v>1</v>
      </c>
      <c r="G136" s="4">
        <v>500</v>
      </c>
      <c r="H136" s="4">
        <f>F136*G136</f>
        <v>500</v>
      </c>
      <c r="I136" s="4">
        <v>134</v>
      </c>
      <c r="J136" s="3"/>
      <c r="K136" s="3"/>
      <c r="L136" s="4">
        <v>134</v>
      </c>
      <c r="M136" s="4" t="s">
        <v>417</v>
      </c>
      <c r="N136" s="4">
        <v>500</v>
      </c>
      <c r="O136" s="4" t="s">
        <v>418</v>
      </c>
    </row>
    <row r="137" spans="1:15" ht="22.05" customHeight="1" x14ac:dyDescent="0.25">
      <c r="A137" s="4">
        <v>135</v>
      </c>
      <c r="B137" s="9" t="s">
        <v>176</v>
      </c>
      <c r="C137" s="4">
        <v>5</v>
      </c>
      <c r="D137" s="4">
        <v>1</v>
      </c>
      <c r="E137" s="4">
        <v>4</v>
      </c>
      <c r="F137" s="4">
        <f t="shared" si="2"/>
        <v>5</v>
      </c>
      <c r="G137" s="4">
        <v>500</v>
      </c>
      <c r="H137" s="4">
        <f>F137*G137</f>
        <v>2500</v>
      </c>
      <c r="I137" s="4">
        <v>135</v>
      </c>
      <c r="J137" s="3"/>
      <c r="K137" s="3"/>
      <c r="L137" s="4">
        <v>135</v>
      </c>
      <c r="M137" s="4" t="s">
        <v>419</v>
      </c>
      <c r="N137" s="4">
        <v>500</v>
      </c>
      <c r="O137" s="4" t="s">
        <v>420</v>
      </c>
    </row>
    <row r="138" spans="1:15" ht="22.05" customHeight="1" x14ac:dyDescent="0.25">
      <c r="A138" s="4">
        <v>136</v>
      </c>
      <c r="B138" s="9" t="s">
        <v>177</v>
      </c>
      <c r="C138" s="4">
        <v>4</v>
      </c>
      <c r="D138" s="4">
        <v>2</v>
      </c>
      <c r="E138" s="4">
        <v>2</v>
      </c>
      <c r="F138" s="4">
        <f t="shared" si="2"/>
        <v>4</v>
      </c>
      <c r="G138" s="4">
        <v>500</v>
      </c>
      <c r="H138" s="4">
        <f>F138*G138</f>
        <v>2000</v>
      </c>
      <c r="I138" s="4">
        <v>136</v>
      </c>
      <c r="J138" s="3"/>
      <c r="K138" s="3"/>
      <c r="L138" s="4">
        <v>136</v>
      </c>
      <c r="M138" s="4" t="s">
        <v>421</v>
      </c>
      <c r="N138" s="4">
        <v>500</v>
      </c>
      <c r="O138" s="4" t="s">
        <v>420</v>
      </c>
    </row>
    <row r="139" spans="1:15" ht="22.05" customHeight="1" x14ac:dyDescent="0.25">
      <c r="A139" s="4">
        <v>137</v>
      </c>
      <c r="B139" s="9" t="s">
        <v>178</v>
      </c>
      <c r="C139" s="4">
        <v>1</v>
      </c>
      <c r="D139" s="4">
        <v>1</v>
      </c>
      <c r="E139" s="4">
        <v>0</v>
      </c>
      <c r="F139" s="4">
        <f t="shared" si="2"/>
        <v>1</v>
      </c>
      <c r="G139" s="4">
        <v>500</v>
      </c>
      <c r="H139" s="4">
        <f>F139*G139</f>
        <v>500</v>
      </c>
      <c r="I139" s="4">
        <v>137</v>
      </c>
      <c r="J139" s="3"/>
      <c r="K139" s="3"/>
      <c r="L139" s="4">
        <v>137</v>
      </c>
      <c r="M139" s="4" t="s">
        <v>422</v>
      </c>
      <c r="N139" s="4">
        <v>500</v>
      </c>
      <c r="O139" s="4" t="s">
        <v>423</v>
      </c>
    </row>
    <row r="140" spans="1:15" ht="22.05" customHeight="1" x14ac:dyDescent="0.25">
      <c r="A140" s="4">
        <v>138</v>
      </c>
      <c r="B140" s="9" t="s">
        <v>179</v>
      </c>
      <c r="C140" s="4">
        <v>1</v>
      </c>
      <c r="D140" s="4">
        <v>1</v>
      </c>
      <c r="E140" s="4">
        <v>0</v>
      </c>
      <c r="F140" s="4">
        <f t="shared" si="2"/>
        <v>1</v>
      </c>
      <c r="G140" s="4">
        <v>500</v>
      </c>
      <c r="H140" s="4">
        <f>F140*G140</f>
        <v>500</v>
      </c>
      <c r="I140" s="4">
        <v>138</v>
      </c>
      <c r="J140" s="3"/>
      <c r="K140" s="3"/>
      <c r="L140" s="4">
        <v>138</v>
      </c>
      <c r="M140" s="4" t="s">
        <v>424</v>
      </c>
      <c r="N140" s="4">
        <v>500</v>
      </c>
      <c r="O140" s="4" t="s">
        <v>425</v>
      </c>
    </row>
    <row r="141" spans="1:15" ht="22.05" customHeight="1" x14ac:dyDescent="0.25">
      <c r="A141" s="4">
        <v>139</v>
      </c>
      <c r="B141" s="9" t="s">
        <v>14</v>
      </c>
      <c r="C141" s="4">
        <v>5</v>
      </c>
      <c r="D141" s="4">
        <v>3</v>
      </c>
      <c r="E141" s="4">
        <v>2</v>
      </c>
      <c r="F141" s="4">
        <f t="shared" si="2"/>
        <v>5</v>
      </c>
      <c r="G141" s="4">
        <v>500</v>
      </c>
      <c r="H141" s="4">
        <f>F141*G141</f>
        <v>2500</v>
      </c>
      <c r="I141" s="4">
        <v>139</v>
      </c>
      <c r="J141" s="3"/>
      <c r="K141" s="3"/>
      <c r="L141" s="4">
        <v>139</v>
      </c>
      <c r="M141" s="4" t="s">
        <v>426</v>
      </c>
      <c r="N141" s="4">
        <v>500</v>
      </c>
      <c r="O141" s="4" t="s">
        <v>427</v>
      </c>
    </row>
    <row r="142" spans="1:15" ht="22.05" customHeight="1" x14ac:dyDescent="0.25">
      <c r="A142" s="4">
        <v>140</v>
      </c>
      <c r="B142" s="9" t="s">
        <v>180</v>
      </c>
      <c r="C142" s="4">
        <v>1</v>
      </c>
      <c r="D142" s="4">
        <v>0</v>
      </c>
      <c r="E142" s="4">
        <v>1</v>
      </c>
      <c r="F142" s="4">
        <f t="shared" si="2"/>
        <v>1</v>
      </c>
      <c r="G142" s="4">
        <v>500</v>
      </c>
      <c r="H142" s="4">
        <f>F142*G142</f>
        <v>500</v>
      </c>
      <c r="I142" s="4">
        <v>140</v>
      </c>
      <c r="J142" s="3"/>
      <c r="K142" s="3"/>
      <c r="L142" s="4">
        <v>140</v>
      </c>
      <c r="M142" s="4" t="s">
        <v>428</v>
      </c>
      <c r="N142" s="4">
        <v>500</v>
      </c>
      <c r="O142" s="4" t="s">
        <v>429</v>
      </c>
    </row>
    <row r="143" spans="1:15" ht="22.05" customHeight="1" x14ac:dyDescent="0.25">
      <c r="A143" s="4">
        <v>141</v>
      </c>
      <c r="B143" s="9" t="s">
        <v>181</v>
      </c>
      <c r="C143" s="4">
        <v>3</v>
      </c>
      <c r="D143" s="4">
        <v>2</v>
      </c>
      <c r="E143" s="4">
        <v>1</v>
      </c>
      <c r="F143" s="4">
        <f t="shared" si="2"/>
        <v>3</v>
      </c>
      <c r="G143" s="4">
        <v>500</v>
      </c>
      <c r="H143" s="4">
        <f>F143*G143</f>
        <v>1500</v>
      </c>
      <c r="I143" s="4">
        <v>141</v>
      </c>
      <c r="J143" s="3"/>
      <c r="K143" s="3"/>
      <c r="L143" s="4">
        <v>141</v>
      </c>
      <c r="M143" s="4" t="s">
        <v>430</v>
      </c>
      <c r="N143" s="4">
        <v>500</v>
      </c>
      <c r="O143" s="4" t="s">
        <v>429</v>
      </c>
    </row>
    <row r="144" spans="1:15" ht="22.05" customHeight="1" x14ac:dyDescent="0.25">
      <c r="A144" s="4">
        <v>142</v>
      </c>
      <c r="B144" s="9" t="s">
        <v>182</v>
      </c>
      <c r="C144" s="4">
        <v>3</v>
      </c>
      <c r="D144" s="4">
        <v>1</v>
      </c>
      <c r="E144" s="4">
        <v>2</v>
      </c>
      <c r="F144" s="4">
        <f t="shared" si="2"/>
        <v>3</v>
      </c>
      <c r="G144" s="4">
        <v>500</v>
      </c>
      <c r="H144" s="4">
        <f>F144*G144</f>
        <v>1500</v>
      </c>
      <c r="I144" s="4">
        <v>142</v>
      </c>
      <c r="J144" s="3"/>
      <c r="K144" s="3"/>
      <c r="L144" s="4">
        <v>142</v>
      </c>
      <c r="M144" s="4" t="s">
        <v>431</v>
      </c>
      <c r="N144" s="4">
        <v>500</v>
      </c>
      <c r="O144" s="4" t="s">
        <v>429</v>
      </c>
    </row>
    <row r="145" spans="1:15" ht="22.05" customHeight="1" x14ac:dyDescent="0.25">
      <c r="A145" s="4"/>
      <c r="B145" s="9" t="s">
        <v>87</v>
      </c>
      <c r="C145" s="4">
        <f>SUM(C3:C144)</f>
        <v>514</v>
      </c>
      <c r="D145" s="4">
        <f>SUM(D3:D144)</f>
        <v>263</v>
      </c>
      <c r="E145" s="4">
        <f>SUM(E3:E144)</f>
        <v>251</v>
      </c>
      <c r="F145" s="4"/>
      <c r="G145" s="4"/>
      <c r="H145" s="4">
        <f>SUM(H3:H144)</f>
        <v>257000</v>
      </c>
      <c r="I145" s="4"/>
      <c r="J145" s="4"/>
      <c r="K145" s="4">
        <f>SUM(K3:K144)</f>
        <v>591700</v>
      </c>
      <c r="L145" s="5">
        <v>143</v>
      </c>
      <c r="M145" s="5" t="s">
        <v>432</v>
      </c>
      <c r="N145" s="5">
        <v>500</v>
      </c>
      <c r="O145" s="5" t="s">
        <v>429</v>
      </c>
    </row>
    <row r="146" spans="1:15" ht="22.05" customHeight="1" x14ac:dyDescent="0.25">
      <c r="A146" s="10"/>
      <c r="B146" s="11"/>
      <c r="C146" s="10"/>
      <c r="D146" s="10"/>
      <c r="E146" s="10"/>
      <c r="F146" s="10"/>
      <c r="G146" s="10"/>
      <c r="H146" s="10"/>
      <c r="L146" s="5">
        <v>144</v>
      </c>
      <c r="M146" s="4"/>
      <c r="N146" s="4"/>
      <c r="O146" s="4"/>
    </row>
    <row r="147" spans="1:15" ht="22.05" customHeight="1" x14ac:dyDescent="0.25">
      <c r="A147" s="1" t="s">
        <v>183</v>
      </c>
      <c r="B147" s="11"/>
      <c r="C147" s="1"/>
      <c r="D147" s="1"/>
      <c r="E147" s="1"/>
      <c r="F147" s="1"/>
      <c r="G147" s="1"/>
      <c r="H147" s="1"/>
      <c r="L147" s="5">
        <v>145</v>
      </c>
      <c r="M147" s="4"/>
      <c r="N147" s="4"/>
      <c r="O147" s="4"/>
    </row>
    <row r="148" spans="1:15" ht="22.05" customHeight="1" x14ac:dyDescent="0.25">
      <c r="A148" s="1"/>
      <c r="B148" s="11"/>
      <c r="C148" s="1"/>
      <c r="D148" s="1"/>
      <c r="E148" s="1"/>
      <c r="F148" s="1"/>
      <c r="G148" s="1"/>
      <c r="H148" s="1"/>
      <c r="L148" s="4" t="s">
        <v>87</v>
      </c>
      <c r="M148" s="4"/>
      <c r="N148" s="4">
        <f>SUM(N3:N145)</f>
        <v>182500</v>
      </c>
      <c r="O148" s="4"/>
    </row>
    <row r="149" spans="1:15" ht="22.05" customHeight="1" x14ac:dyDescent="0.25">
      <c r="A149" s="1"/>
      <c r="B149" s="11"/>
      <c r="C149" s="1"/>
      <c r="D149" s="1"/>
      <c r="E149" s="1"/>
      <c r="F149" s="1"/>
      <c r="G149" s="1"/>
      <c r="H149" s="1"/>
    </row>
    <row r="150" spans="1:15" ht="22.05" customHeight="1" x14ac:dyDescent="0.25">
      <c r="A150" s="1"/>
      <c r="B150" s="11"/>
      <c r="C150" s="1"/>
      <c r="D150" s="1"/>
      <c r="E150" s="1"/>
      <c r="F150" s="1"/>
      <c r="G150" s="1"/>
      <c r="H150" s="1"/>
    </row>
  </sheetData>
  <mergeCells count="4">
    <mergeCell ref="A1:H1"/>
    <mergeCell ref="I1:K1"/>
    <mergeCell ref="L1:O1"/>
    <mergeCell ref="P1:Q1"/>
  </mergeCells>
  <phoneticPr fontId="2" type="noConversion"/>
  <conditionalFormatting sqref="B64:B74 B133:B144">
    <cfRule type="duplicateValues" dxfId="2" priority="8"/>
  </conditionalFormatting>
  <conditionalFormatting sqref="M3:M18 M132">
    <cfRule type="duplicateValues" dxfId="1" priority="3"/>
  </conditionalFormatting>
  <conditionalFormatting sqref="P16:P17">
    <cfRule type="duplicateValues" dxfId="0" priority="2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149"/>
  <sheetViews>
    <sheetView topLeftCell="A58" workbookViewId="0">
      <selection activeCell="H18" sqref="F2:H18"/>
    </sheetView>
  </sheetViews>
  <sheetFormatPr defaultColWidth="9" defaultRowHeight="19.95" customHeight="1" x14ac:dyDescent="0.25"/>
  <cols>
    <col min="1" max="1" width="7.3984375" style="2" customWidth="1"/>
    <col min="2" max="2" width="13.09765625" style="2" customWidth="1"/>
    <col min="3" max="3" width="16.09765625" style="2" customWidth="1"/>
    <col min="4" max="4" width="13.19921875" style="2" customWidth="1"/>
    <col min="5" max="5" width="2.69921875" style="2" customWidth="1"/>
    <col min="6" max="6" width="22.5" style="2" customWidth="1"/>
    <col min="7" max="7" width="9" style="2"/>
    <col min="8" max="8" width="27.69921875" style="2" customWidth="1"/>
    <col min="9" max="16384" width="9" style="2"/>
  </cols>
  <sheetData>
    <row r="3" spans="5:9" ht="19.95" customHeight="1" x14ac:dyDescent="0.25">
      <c r="I3" s="1"/>
    </row>
    <row r="4" spans="5:9" s="1" customFormat="1" ht="19.95" customHeight="1" x14ac:dyDescent="0.25">
      <c r="E4" s="2"/>
    </row>
    <row r="5" spans="5:9" s="1" customFormat="1" ht="19.95" customHeight="1" x14ac:dyDescent="0.25"/>
    <row r="6" spans="5:9" s="1" customFormat="1" ht="19.95" customHeight="1" x14ac:dyDescent="0.25">
      <c r="E6" s="2"/>
    </row>
    <row r="7" spans="5:9" ht="19.95" customHeight="1" x14ac:dyDescent="0.25">
      <c r="I7" s="1"/>
    </row>
    <row r="8" spans="5:9" ht="19.95" customHeight="1" x14ac:dyDescent="0.25">
      <c r="E8" s="1"/>
      <c r="I8" s="1"/>
    </row>
    <row r="9" spans="5:9" ht="19.95" customHeight="1" x14ac:dyDescent="0.25">
      <c r="E9" s="1"/>
      <c r="I9" s="1"/>
    </row>
    <row r="10" spans="5:9" ht="19.95" customHeight="1" x14ac:dyDescent="0.25">
      <c r="I10" s="1"/>
    </row>
    <row r="11" spans="5:9" ht="19.95" customHeight="1" x14ac:dyDescent="0.25">
      <c r="E11" s="1"/>
      <c r="I11" s="1"/>
    </row>
    <row r="12" spans="5:9" ht="19.95" customHeight="1" x14ac:dyDescent="0.25">
      <c r="I12" s="1"/>
    </row>
    <row r="13" spans="5:9" ht="19.95" customHeight="1" x14ac:dyDescent="0.25">
      <c r="I13" s="1"/>
    </row>
    <row r="14" spans="5:9" ht="19.95" customHeight="1" x14ac:dyDescent="0.25">
      <c r="E14" s="1"/>
      <c r="I14" s="1"/>
    </row>
    <row r="15" spans="5:9" ht="19.95" customHeight="1" x14ac:dyDescent="0.25">
      <c r="E15" s="1"/>
      <c r="I15" s="1"/>
    </row>
    <row r="16" spans="5:9" ht="19.95" customHeight="1" x14ac:dyDescent="0.25">
      <c r="E16" s="1"/>
      <c r="I16" s="1"/>
    </row>
    <row r="17" spans="5:9" ht="19.95" customHeight="1" x14ac:dyDescent="0.25">
      <c r="I17" s="1"/>
    </row>
    <row r="18" spans="5:9" ht="19.95" customHeight="1" x14ac:dyDescent="0.25">
      <c r="E18" s="1"/>
      <c r="I18" s="1"/>
    </row>
    <row r="19" spans="5:9" ht="19.95" customHeight="1" x14ac:dyDescent="0.25">
      <c r="E19" s="1"/>
      <c r="F19" s="3"/>
      <c r="G19" s="3"/>
      <c r="H19" s="3"/>
    </row>
    <row r="20" spans="5:9" ht="19.95" customHeight="1" x14ac:dyDescent="0.25">
      <c r="F20" s="3"/>
      <c r="G20" s="3"/>
      <c r="H20" s="3"/>
    </row>
    <row r="21" spans="5:9" ht="19.95" customHeight="1" x14ac:dyDescent="0.25">
      <c r="F21" s="3"/>
      <c r="G21" s="3"/>
      <c r="H21" s="3"/>
    </row>
    <row r="22" spans="5:9" ht="19.95" customHeight="1" x14ac:dyDescent="0.25">
      <c r="F22" s="3"/>
      <c r="G22" s="3"/>
      <c r="H22" s="3"/>
    </row>
    <row r="23" spans="5:9" ht="19.95" customHeight="1" x14ac:dyDescent="0.25">
      <c r="F23" s="3"/>
      <c r="G23" s="3"/>
      <c r="H23" s="3"/>
    </row>
    <row r="24" spans="5:9" ht="19.95" customHeight="1" x14ac:dyDescent="0.25">
      <c r="F24" s="3"/>
      <c r="G24" s="3"/>
      <c r="H24" s="3"/>
    </row>
    <row r="25" spans="5:9" ht="19.95" customHeight="1" x14ac:dyDescent="0.25">
      <c r="F25" s="3"/>
      <c r="G25" s="3"/>
      <c r="H25" s="3"/>
    </row>
    <row r="26" spans="5:9" ht="19.95" customHeight="1" x14ac:dyDescent="0.25">
      <c r="F26" s="3"/>
      <c r="G26" s="3"/>
      <c r="H26" s="3"/>
    </row>
    <row r="27" spans="5:9" ht="19.95" customHeight="1" x14ac:dyDescent="0.25">
      <c r="F27" s="3"/>
      <c r="G27" s="3"/>
      <c r="H27" s="3"/>
    </row>
    <row r="28" spans="5:9" ht="19.95" customHeight="1" x14ac:dyDescent="0.25">
      <c r="F28" s="3"/>
      <c r="G28" s="3"/>
      <c r="H28" s="3"/>
    </row>
    <row r="29" spans="5:9" ht="19.95" customHeight="1" x14ac:dyDescent="0.25">
      <c r="F29" s="3"/>
      <c r="G29" s="3"/>
      <c r="H29" s="3"/>
    </row>
    <row r="30" spans="5:9" ht="19.95" customHeight="1" x14ac:dyDescent="0.25">
      <c r="F30" s="3"/>
      <c r="G30" s="3"/>
      <c r="H30" s="3"/>
    </row>
    <row r="31" spans="5:9" ht="19.95" customHeight="1" x14ac:dyDescent="0.25">
      <c r="F31" s="3"/>
      <c r="G31" s="3"/>
      <c r="H31" s="3"/>
    </row>
    <row r="32" spans="5:9" ht="19.95" customHeight="1" x14ac:dyDescent="0.25">
      <c r="F32" s="3"/>
      <c r="G32" s="3"/>
      <c r="H32" s="3"/>
    </row>
    <row r="33" spans="5:8" s="1" customFormat="1" ht="19.95" customHeight="1" x14ac:dyDescent="0.25">
      <c r="E33" s="2"/>
      <c r="F33" s="3"/>
      <c r="G33" s="3"/>
      <c r="H33" s="3"/>
    </row>
    <row r="34" spans="5:8" s="1" customFormat="1" ht="19.95" customHeight="1" x14ac:dyDescent="0.25">
      <c r="E34" s="2"/>
      <c r="F34" s="4"/>
      <c r="G34" s="4"/>
      <c r="H34" s="4"/>
    </row>
    <row r="35" spans="5:8" ht="19.95" customHeight="1" x14ac:dyDescent="0.25">
      <c r="F35" s="4"/>
      <c r="G35" s="4"/>
      <c r="H35" s="4"/>
    </row>
    <row r="36" spans="5:8" ht="19.95" customHeight="1" x14ac:dyDescent="0.25">
      <c r="F36" s="3"/>
      <c r="G36" s="3"/>
      <c r="H36" s="3"/>
    </row>
    <row r="37" spans="5:8" ht="19.95" customHeight="1" x14ac:dyDescent="0.25">
      <c r="F37" s="3"/>
      <c r="G37" s="3"/>
      <c r="H37" s="3"/>
    </row>
    <row r="38" spans="5:8" ht="19.95" customHeight="1" x14ac:dyDescent="0.25">
      <c r="F38" s="3"/>
      <c r="G38" s="3"/>
      <c r="H38" s="3"/>
    </row>
    <row r="39" spans="5:8" ht="19.95" customHeight="1" x14ac:dyDescent="0.25">
      <c r="F39" s="3"/>
      <c r="G39" s="3"/>
      <c r="H39" s="3"/>
    </row>
    <row r="40" spans="5:8" ht="19.95" customHeight="1" x14ac:dyDescent="0.25">
      <c r="F40" s="3"/>
      <c r="G40" s="3"/>
      <c r="H40" s="3"/>
    </row>
    <row r="41" spans="5:8" ht="19.95" customHeight="1" x14ac:dyDescent="0.25">
      <c r="F41" s="3"/>
      <c r="G41" s="3"/>
      <c r="H41" s="3"/>
    </row>
    <row r="42" spans="5:8" ht="19.95" customHeight="1" x14ac:dyDescent="0.25">
      <c r="F42" s="3"/>
      <c r="G42" s="3"/>
      <c r="H42" s="3"/>
    </row>
    <row r="43" spans="5:8" s="1" customFormat="1" ht="19.95" customHeight="1" x14ac:dyDescent="0.25">
      <c r="E43" s="2"/>
      <c r="F43" s="3"/>
      <c r="G43" s="3"/>
      <c r="H43" s="3"/>
    </row>
    <row r="44" spans="5:8" ht="19.95" customHeight="1" x14ac:dyDescent="0.25">
      <c r="F44" s="4"/>
      <c r="G44" s="4"/>
      <c r="H44" s="4"/>
    </row>
    <row r="45" spans="5:8" ht="19.95" customHeight="1" x14ac:dyDescent="0.25">
      <c r="F45" s="3"/>
      <c r="G45" s="3"/>
      <c r="H45" s="3"/>
    </row>
    <row r="46" spans="5:8" ht="19.95" customHeight="1" x14ac:dyDescent="0.25">
      <c r="E46" s="1"/>
      <c r="F46" s="3"/>
      <c r="G46" s="3"/>
      <c r="H46" s="3"/>
    </row>
    <row r="47" spans="5:8" s="1" customFormat="1" ht="19.95" customHeight="1" x14ac:dyDescent="0.25">
      <c r="E47" s="2"/>
      <c r="F47" s="3"/>
      <c r="G47" s="3"/>
      <c r="H47" s="3"/>
    </row>
    <row r="48" spans="5:8" ht="19.95" customHeight="1" x14ac:dyDescent="0.25">
      <c r="F48" s="4"/>
      <c r="G48" s="4"/>
      <c r="H48" s="4"/>
    </row>
    <row r="49" spans="5:8" s="1" customFormat="1" ht="19.95" customHeight="1" x14ac:dyDescent="0.25">
      <c r="E49" s="2"/>
      <c r="F49" s="3"/>
      <c r="G49" s="3"/>
      <c r="H49" s="3"/>
    </row>
    <row r="50" spans="5:8" ht="19.95" customHeight="1" x14ac:dyDescent="0.25">
      <c r="F50" s="4"/>
      <c r="G50" s="4"/>
      <c r="H50" s="4"/>
    </row>
    <row r="51" spans="5:8" ht="19.95" customHeight="1" x14ac:dyDescent="0.25">
      <c r="F51" s="3"/>
      <c r="G51" s="3"/>
      <c r="H51" s="3"/>
    </row>
    <row r="52" spans="5:8" ht="19.95" customHeight="1" x14ac:dyDescent="0.25">
      <c r="E52" s="1"/>
      <c r="F52" s="3"/>
      <c r="G52" s="3"/>
      <c r="H52" s="3"/>
    </row>
    <row r="53" spans="5:8" ht="19.95" customHeight="1" x14ac:dyDescent="0.25">
      <c r="E53" s="1"/>
      <c r="F53" s="3"/>
      <c r="G53" s="3"/>
      <c r="H53" s="3"/>
    </row>
    <row r="54" spans="5:8" ht="19.95" customHeight="1" x14ac:dyDescent="0.25">
      <c r="E54" s="1"/>
      <c r="F54" s="3"/>
      <c r="G54" s="3"/>
      <c r="H54" s="3"/>
    </row>
    <row r="55" spans="5:8" ht="19.95" customHeight="1" x14ac:dyDescent="0.25">
      <c r="E55" s="1"/>
      <c r="F55" s="3"/>
      <c r="G55" s="3"/>
      <c r="H55" s="3"/>
    </row>
    <row r="56" spans="5:8" ht="19.95" customHeight="1" x14ac:dyDescent="0.25">
      <c r="F56" s="3"/>
      <c r="G56" s="3"/>
      <c r="H56" s="3"/>
    </row>
    <row r="57" spans="5:8" ht="19.95" customHeight="1" x14ac:dyDescent="0.25">
      <c r="F57" s="3"/>
      <c r="G57" s="3"/>
      <c r="H57" s="3"/>
    </row>
    <row r="58" spans="5:8" ht="19.95" customHeight="1" x14ac:dyDescent="0.25">
      <c r="F58" s="3"/>
      <c r="G58" s="3"/>
      <c r="H58" s="3"/>
    </row>
    <row r="59" spans="5:8" ht="19.95" customHeight="1" x14ac:dyDescent="0.25">
      <c r="F59" s="3"/>
      <c r="G59" s="3"/>
      <c r="H59" s="3"/>
    </row>
    <row r="60" spans="5:8" ht="19.95" customHeight="1" x14ac:dyDescent="0.25">
      <c r="F60" s="3"/>
      <c r="G60" s="3"/>
      <c r="H60" s="3"/>
    </row>
    <row r="61" spans="5:8" ht="19.95" customHeight="1" x14ac:dyDescent="0.25">
      <c r="F61" s="3"/>
      <c r="G61" s="3"/>
      <c r="H61" s="3"/>
    </row>
    <row r="62" spans="5:8" ht="19.95" customHeight="1" x14ac:dyDescent="0.25">
      <c r="F62" s="3"/>
      <c r="G62" s="3"/>
      <c r="H62" s="3"/>
    </row>
    <row r="63" spans="5:8" ht="19.95" customHeight="1" x14ac:dyDescent="0.25">
      <c r="F63" s="3"/>
      <c r="G63" s="3"/>
      <c r="H63" s="3"/>
    </row>
    <row r="64" spans="5:8" ht="19.95" customHeight="1" x14ac:dyDescent="0.25">
      <c r="F64" s="3"/>
      <c r="G64" s="3"/>
      <c r="H64" s="3"/>
    </row>
    <row r="65" spans="1:8" ht="19.95" customHeight="1" x14ac:dyDescent="0.25">
      <c r="F65" s="3"/>
      <c r="G65" s="3"/>
      <c r="H65" s="3"/>
    </row>
    <row r="66" spans="1:8" ht="19.95" customHeight="1" x14ac:dyDescent="0.25">
      <c r="F66" s="3"/>
      <c r="G66" s="3"/>
      <c r="H66" s="3"/>
    </row>
    <row r="67" spans="1:8" ht="19.95" customHeight="1" x14ac:dyDescent="0.25">
      <c r="F67" s="3"/>
      <c r="G67" s="3"/>
      <c r="H67" s="3"/>
    </row>
    <row r="68" spans="1:8" ht="19.95" customHeight="1" x14ac:dyDescent="0.25">
      <c r="F68" s="3"/>
      <c r="G68" s="3"/>
      <c r="H68" s="3"/>
    </row>
    <row r="69" spans="1:8" ht="19.95" customHeight="1" x14ac:dyDescent="0.25">
      <c r="F69" s="3"/>
      <c r="G69" s="3"/>
      <c r="H69" s="3"/>
    </row>
    <row r="70" spans="1:8" ht="19.95" customHeight="1" x14ac:dyDescent="0.25">
      <c r="F70" s="3"/>
      <c r="G70" s="3"/>
      <c r="H70" s="3"/>
    </row>
    <row r="71" spans="1:8" ht="19.95" customHeight="1" x14ac:dyDescent="0.25">
      <c r="F71" s="3"/>
      <c r="G71" s="3"/>
      <c r="H71" s="3"/>
    </row>
    <row r="72" spans="1:8" ht="19.95" customHeight="1" x14ac:dyDescent="0.25">
      <c r="F72" s="3"/>
      <c r="G72" s="3"/>
      <c r="H72" s="3"/>
    </row>
    <row r="73" spans="1:8" ht="19.95" customHeight="1" x14ac:dyDescent="0.25">
      <c r="F73" s="3"/>
      <c r="G73" s="3"/>
      <c r="H73" s="3"/>
    </row>
    <row r="74" spans="1:8" ht="19.95" customHeight="1" x14ac:dyDescent="0.25">
      <c r="F74" s="3"/>
      <c r="G74" s="3"/>
      <c r="H74" s="3"/>
    </row>
    <row r="75" spans="1:8" ht="19.95" customHeight="1" x14ac:dyDescent="0.25">
      <c r="F75" s="3"/>
      <c r="G75" s="3"/>
      <c r="H75" s="3"/>
    </row>
    <row r="76" spans="1:8" ht="19.95" customHeight="1" x14ac:dyDescent="0.25">
      <c r="F76" s="3"/>
      <c r="G76" s="3"/>
      <c r="H76" s="3"/>
    </row>
    <row r="77" spans="1:8" ht="19.95" customHeight="1" x14ac:dyDescent="0.25">
      <c r="F77" s="3"/>
      <c r="G77" s="3"/>
      <c r="H77" s="3"/>
    </row>
    <row r="78" spans="1:8" customFormat="1" ht="19.95" customHeight="1" x14ac:dyDescent="0.25">
      <c r="A78" s="2"/>
      <c r="B78" s="2"/>
      <c r="C78" s="2"/>
      <c r="D78" s="2"/>
      <c r="E78" s="1"/>
      <c r="F78" s="3"/>
      <c r="G78" s="3"/>
      <c r="H78" s="3"/>
    </row>
    <row r="79" spans="1:8" customFormat="1" ht="19.95" customHeight="1" x14ac:dyDescent="0.25">
      <c r="A79" s="2"/>
      <c r="B79" s="2"/>
      <c r="C79" s="2"/>
      <c r="D79" s="2"/>
      <c r="E79" s="1"/>
      <c r="F79" s="6"/>
      <c r="G79" s="6"/>
      <c r="H79" s="6"/>
    </row>
    <row r="80" spans="1:8" customFormat="1" ht="19.95" customHeight="1" x14ac:dyDescent="0.25">
      <c r="A80" s="2"/>
      <c r="B80" s="2"/>
      <c r="C80" s="2"/>
      <c r="D80" s="2"/>
      <c r="E80" s="1"/>
      <c r="F80" s="6"/>
      <c r="G80" s="6"/>
      <c r="H80" s="6"/>
    </row>
    <row r="81" spans="1:8" customFormat="1" ht="19.95" customHeight="1" x14ac:dyDescent="0.25">
      <c r="A81" s="2"/>
      <c r="B81" s="2"/>
      <c r="C81" s="2"/>
      <c r="D81" s="2"/>
      <c r="E81" s="1"/>
      <c r="F81" s="6"/>
      <c r="G81" s="6"/>
      <c r="H81" s="6"/>
    </row>
    <row r="82" spans="1:8" customFormat="1" ht="19.95" customHeight="1" x14ac:dyDescent="0.25">
      <c r="A82" s="2"/>
      <c r="B82" s="2"/>
      <c r="C82" s="2"/>
      <c r="D82" s="2"/>
      <c r="E82" s="1"/>
      <c r="F82" s="6"/>
      <c r="G82" s="6"/>
      <c r="H82" s="6"/>
    </row>
    <row r="83" spans="1:8" customFormat="1" ht="19.95" customHeight="1" x14ac:dyDescent="0.25">
      <c r="A83" s="2"/>
      <c r="B83" s="2"/>
      <c r="C83" s="2"/>
      <c r="D83" s="2"/>
      <c r="E83" s="2"/>
      <c r="F83" s="6"/>
      <c r="G83" s="6"/>
      <c r="H83" s="6"/>
    </row>
    <row r="84" spans="1:8" customFormat="1" ht="19.95" customHeight="1" x14ac:dyDescent="0.25">
      <c r="A84" s="2"/>
      <c r="B84" s="2"/>
      <c r="C84" s="2"/>
      <c r="D84" s="2"/>
      <c r="E84" s="2"/>
      <c r="F84" s="6"/>
      <c r="G84" s="6"/>
      <c r="H84" s="6"/>
    </row>
    <row r="85" spans="1:8" customFormat="1" ht="19.95" customHeight="1" x14ac:dyDescent="0.25">
      <c r="A85" s="2"/>
      <c r="B85" s="2"/>
      <c r="C85" s="2"/>
      <c r="D85" s="2"/>
      <c r="E85" s="2"/>
      <c r="F85" s="6"/>
      <c r="G85" s="6"/>
      <c r="H85" s="6"/>
    </row>
    <row r="86" spans="1:8" customFormat="1" ht="19.95" customHeight="1" x14ac:dyDescent="0.25">
      <c r="A86" s="2"/>
      <c r="B86" s="2"/>
      <c r="C86" s="2"/>
      <c r="D86" s="2"/>
      <c r="E86" s="2"/>
      <c r="F86" s="6"/>
      <c r="G86" s="6"/>
      <c r="H86" s="6"/>
    </row>
    <row r="87" spans="1:8" customFormat="1" ht="19.95" customHeight="1" x14ac:dyDescent="0.25">
      <c r="A87" s="2"/>
      <c r="B87" s="2"/>
      <c r="C87" s="2"/>
      <c r="D87" s="2"/>
      <c r="E87" s="2"/>
      <c r="F87" s="6"/>
      <c r="G87" s="6"/>
      <c r="H87" s="6"/>
    </row>
    <row r="88" spans="1:8" customFormat="1" ht="19.95" customHeight="1" x14ac:dyDescent="0.25">
      <c r="A88" s="2"/>
      <c r="B88" s="2"/>
      <c r="C88" s="2"/>
      <c r="D88" s="2"/>
      <c r="E88" s="2"/>
      <c r="F88" s="6"/>
      <c r="G88" s="6"/>
      <c r="H88" s="6"/>
    </row>
    <row r="89" spans="1:8" customFormat="1" ht="19.95" customHeight="1" x14ac:dyDescent="0.25">
      <c r="A89" s="2"/>
      <c r="B89" s="2"/>
      <c r="C89" s="2"/>
      <c r="D89" s="2"/>
      <c r="E89" s="2"/>
      <c r="F89" s="6"/>
      <c r="G89" s="6"/>
      <c r="H89" s="6"/>
    </row>
    <row r="90" spans="1:8" customFormat="1" ht="19.95" customHeight="1" x14ac:dyDescent="0.25">
      <c r="A90" s="2"/>
      <c r="B90" s="2"/>
      <c r="C90" s="2"/>
      <c r="D90" s="2"/>
      <c r="E90" s="2"/>
      <c r="F90" s="6"/>
      <c r="G90" s="6"/>
      <c r="H90" s="6"/>
    </row>
    <row r="91" spans="1:8" customFormat="1" ht="19.95" customHeight="1" x14ac:dyDescent="0.25">
      <c r="A91" s="2"/>
      <c r="B91" s="2"/>
      <c r="C91" s="2"/>
      <c r="D91" s="2"/>
      <c r="E91" s="2"/>
      <c r="F91" s="6"/>
      <c r="G91" s="6"/>
      <c r="H91" s="6"/>
    </row>
    <row r="92" spans="1:8" customFormat="1" ht="19.95" customHeight="1" x14ac:dyDescent="0.25">
      <c r="A92" s="2"/>
      <c r="B92" s="2"/>
      <c r="C92" s="2"/>
      <c r="D92" s="2"/>
      <c r="E92" s="2"/>
      <c r="F92" s="6"/>
      <c r="G92" s="6"/>
      <c r="H92" s="6"/>
    </row>
    <row r="93" spans="1:8" customFormat="1" ht="19.95" customHeight="1" x14ac:dyDescent="0.25">
      <c r="A93" s="2"/>
      <c r="B93" s="2"/>
      <c r="C93" s="2"/>
      <c r="D93" s="2"/>
      <c r="E93" s="2"/>
      <c r="F93" s="6"/>
      <c r="G93" s="6"/>
      <c r="H93" s="6"/>
    </row>
    <row r="94" spans="1:8" customFormat="1" ht="19.95" customHeight="1" x14ac:dyDescent="0.25">
      <c r="A94" s="2"/>
      <c r="B94" s="2"/>
      <c r="C94" s="2"/>
      <c r="D94" s="2"/>
      <c r="E94" s="2"/>
      <c r="F94" s="6"/>
      <c r="G94" s="6"/>
      <c r="H94" s="6"/>
    </row>
    <row r="95" spans="1:8" customFormat="1" ht="19.95" customHeight="1" x14ac:dyDescent="0.25">
      <c r="A95" s="2"/>
      <c r="B95" s="2"/>
      <c r="C95" s="2"/>
      <c r="D95" s="2"/>
      <c r="E95" s="2"/>
      <c r="F95" s="6"/>
      <c r="G95" s="6"/>
      <c r="H95" s="6"/>
    </row>
    <row r="96" spans="1:8" customFormat="1" ht="19.95" customHeight="1" x14ac:dyDescent="0.25">
      <c r="A96" s="2"/>
      <c r="B96" s="2"/>
      <c r="C96" s="2"/>
      <c r="D96" s="2"/>
      <c r="E96" s="2"/>
      <c r="F96" s="6"/>
      <c r="G96" s="6"/>
      <c r="H96" s="6"/>
    </row>
    <row r="97" spans="1:8" customFormat="1" ht="19.95" customHeight="1" x14ac:dyDescent="0.25">
      <c r="A97" s="2"/>
      <c r="B97" s="2"/>
      <c r="C97" s="2"/>
      <c r="D97" s="2"/>
      <c r="E97" s="2"/>
      <c r="F97" s="6"/>
      <c r="G97" s="6"/>
      <c r="H97" s="6"/>
    </row>
    <row r="98" spans="1:8" customFormat="1" ht="19.95" customHeight="1" x14ac:dyDescent="0.25">
      <c r="A98" s="2"/>
      <c r="B98" s="2"/>
      <c r="C98" s="2"/>
      <c r="D98" s="2"/>
      <c r="E98" s="2"/>
      <c r="F98" s="6"/>
      <c r="G98" s="6"/>
      <c r="H98" s="6"/>
    </row>
    <row r="99" spans="1:8" s="1" customFormat="1" ht="19.95" customHeight="1" x14ac:dyDescent="0.25">
      <c r="E99" s="2"/>
      <c r="F99" s="6"/>
      <c r="G99" s="6"/>
      <c r="H99" s="6"/>
    </row>
    <row r="100" spans="1:8" ht="19.95" customHeight="1" x14ac:dyDescent="0.25">
      <c r="F100" s="4"/>
      <c r="G100" s="4"/>
      <c r="H100" s="4"/>
    </row>
    <row r="101" spans="1:8" ht="19.95" customHeight="1" x14ac:dyDescent="0.25">
      <c r="F101" s="3"/>
      <c r="G101" s="3"/>
      <c r="H101" s="3"/>
    </row>
    <row r="102" spans="1:8" ht="19.95" customHeight="1" x14ac:dyDescent="0.25">
      <c r="F102" s="3"/>
      <c r="G102" s="3"/>
      <c r="H102" s="3"/>
    </row>
    <row r="103" spans="1:8" ht="19.95" customHeight="1" x14ac:dyDescent="0.25">
      <c r="F103" s="3"/>
      <c r="G103" s="3"/>
      <c r="H103" s="3"/>
    </row>
    <row r="104" spans="1:8" ht="19.95" customHeight="1" x14ac:dyDescent="0.25">
      <c r="F104" s="3"/>
      <c r="G104" s="3"/>
      <c r="H104" s="3"/>
    </row>
    <row r="105" spans="1:8" ht="19.95" customHeight="1" x14ac:dyDescent="0.25">
      <c r="E105" s="1"/>
      <c r="F105" s="3"/>
      <c r="G105" s="3"/>
      <c r="H105" s="3"/>
    </row>
    <row r="106" spans="1:8" ht="19.95" customHeight="1" x14ac:dyDescent="0.25">
      <c r="F106" s="3"/>
      <c r="G106" s="3"/>
      <c r="H106" s="3"/>
    </row>
    <row r="107" spans="1:8" ht="19.95" customHeight="1" x14ac:dyDescent="0.25">
      <c r="F107" s="3"/>
      <c r="G107" s="3"/>
      <c r="H107" s="3"/>
    </row>
    <row r="108" spans="1:8" ht="19.95" customHeight="1" x14ac:dyDescent="0.25">
      <c r="F108" s="3"/>
      <c r="G108" s="3"/>
      <c r="H108" s="3"/>
    </row>
    <row r="109" spans="1:8" ht="19.95" customHeight="1" x14ac:dyDescent="0.25">
      <c r="F109" s="3"/>
      <c r="G109" s="3"/>
      <c r="H109" s="3"/>
    </row>
    <row r="110" spans="1:8" ht="19.95" customHeight="1" x14ac:dyDescent="0.25">
      <c r="F110" s="3"/>
      <c r="G110" s="3"/>
      <c r="H110" s="3"/>
    </row>
    <row r="111" spans="1:8" ht="19.95" customHeight="1" x14ac:dyDescent="0.25">
      <c r="F111" s="3"/>
      <c r="G111" s="3"/>
      <c r="H111" s="3"/>
    </row>
    <row r="112" spans="1:8" s="1" customFormat="1" ht="19.95" customHeight="1" x14ac:dyDescent="0.25">
      <c r="E112" s="2"/>
      <c r="F112" s="3"/>
      <c r="G112" s="3"/>
      <c r="H112" s="3"/>
    </row>
    <row r="113" spans="5:8" ht="19.95" customHeight="1" x14ac:dyDescent="0.25">
      <c r="F113" s="4"/>
      <c r="G113" s="4"/>
      <c r="H113" s="4"/>
    </row>
    <row r="114" spans="5:8" ht="19.95" customHeight="1" x14ac:dyDescent="0.25">
      <c r="F114" s="3"/>
      <c r="G114" s="3"/>
      <c r="H114" s="3"/>
    </row>
    <row r="115" spans="5:8" ht="19.95" customHeight="1" x14ac:dyDescent="0.25">
      <c r="F115" s="3"/>
      <c r="G115" s="3"/>
      <c r="H115" s="3"/>
    </row>
    <row r="116" spans="5:8" ht="19.95" customHeight="1" x14ac:dyDescent="0.25">
      <c r="E116" s="1"/>
      <c r="F116" s="3"/>
      <c r="G116" s="3"/>
      <c r="H116" s="3"/>
    </row>
    <row r="117" spans="5:8" ht="19.95" customHeight="1" x14ac:dyDescent="0.25">
      <c r="F117" s="3"/>
      <c r="G117" s="3"/>
      <c r="H117" s="3"/>
    </row>
    <row r="118" spans="5:8" s="1" customFormat="1" ht="19.95" customHeight="1" x14ac:dyDescent="0.25">
      <c r="E118" s="2"/>
      <c r="F118" s="3"/>
      <c r="G118" s="3"/>
      <c r="H118" s="3"/>
    </row>
    <row r="119" spans="5:8" s="1" customFormat="1" ht="19.95" customHeight="1" x14ac:dyDescent="0.25">
      <c r="E119" s="2"/>
      <c r="F119" s="4"/>
      <c r="G119" s="4"/>
      <c r="H119" s="4"/>
    </row>
    <row r="120" spans="5:8" s="1" customFormat="1" ht="19.95" customHeight="1" x14ac:dyDescent="0.25">
      <c r="E120" s="2"/>
      <c r="F120" s="4"/>
      <c r="G120" s="4"/>
      <c r="H120" s="4"/>
    </row>
    <row r="121" spans="5:8" s="1" customFormat="1" ht="19.95" customHeight="1" x14ac:dyDescent="0.25">
      <c r="E121" s="2"/>
      <c r="F121" s="4"/>
      <c r="G121" s="4"/>
      <c r="H121" s="4"/>
    </row>
    <row r="122" spans="5:8" s="1" customFormat="1" ht="19.95" customHeight="1" x14ac:dyDescent="0.25">
      <c r="F122" s="4"/>
      <c r="G122" s="4"/>
      <c r="H122" s="4"/>
    </row>
    <row r="123" spans="5:8" s="1" customFormat="1" ht="19.95" customHeight="1" x14ac:dyDescent="0.25">
      <c r="F123" s="4"/>
      <c r="G123" s="4"/>
      <c r="H123" s="4"/>
    </row>
    <row r="124" spans="5:8" s="1" customFormat="1" ht="19.95" customHeight="1" x14ac:dyDescent="0.25">
      <c r="F124" s="4"/>
      <c r="G124" s="4"/>
      <c r="H124" s="4"/>
    </row>
    <row r="125" spans="5:8" s="1" customFormat="1" ht="19.95" customHeight="1" x14ac:dyDescent="0.25">
      <c r="F125" s="4"/>
      <c r="G125" s="4"/>
      <c r="H125" s="4"/>
    </row>
    <row r="126" spans="5:8" s="1" customFormat="1" ht="19.95" customHeight="1" x14ac:dyDescent="0.25">
      <c r="F126" s="4"/>
      <c r="G126" s="4"/>
      <c r="H126" s="4"/>
    </row>
    <row r="127" spans="5:8" s="1" customFormat="1" ht="19.95" customHeight="1" x14ac:dyDescent="0.25">
      <c r="F127" s="4"/>
      <c r="G127" s="4"/>
      <c r="H127" s="4"/>
    </row>
    <row r="128" spans="5:8" s="1" customFormat="1" ht="19.95" customHeight="1" x14ac:dyDescent="0.25">
      <c r="F128" s="4"/>
      <c r="G128" s="4"/>
      <c r="H128" s="4"/>
    </row>
    <row r="129" spans="5:8" s="1" customFormat="1" ht="19.95" customHeight="1" x14ac:dyDescent="0.25">
      <c r="F129" s="4"/>
      <c r="G129" s="4"/>
      <c r="H129" s="4"/>
    </row>
    <row r="130" spans="5:8" s="1" customFormat="1" ht="19.95" customHeight="1" x14ac:dyDescent="0.25">
      <c r="F130" s="4"/>
      <c r="G130" s="4"/>
      <c r="H130" s="4"/>
    </row>
    <row r="131" spans="5:8" ht="19.95" customHeight="1" x14ac:dyDescent="0.25">
      <c r="E131" s="1"/>
      <c r="F131" s="4"/>
      <c r="G131" s="4"/>
      <c r="H131" s="4"/>
    </row>
    <row r="132" spans="5:8" ht="19.95" customHeight="1" x14ac:dyDescent="0.25">
      <c r="E132" s="1"/>
      <c r="F132" s="3"/>
      <c r="G132" s="3"/>
      <c r="H132" s="3"/>
    </row>
    <row r="133" spans="5:8" s="1" customFormat="1" ht="19.95" customHeight="1" x14ac:dyDescent="0.25">
      <c r="F133" s="3"/>
      <c r="G133" s="3"/>
      <c r="H133" s="3"/>
    </row>
    <row r="134" spans="5:8" ht="19.95" customHeight="1" x14ac:dyDescent="0.25">
      <c r="E134" s="1"/>
      <c r="F134" s="4"/>
      <c r="G134" s="4"/>
      <c r="H134" s="4"/>
    </row>
    <row r="135" spans="5:8" s="1" customFormat="1" ht="19.95" customHeight="1" x14ac:dyDescent="0.25">
      <c r="E135" s="2"/>
      <c r="F135" s="3"/>
      <c r="G135" s="3"/>
      <c r="H135" s="3"/>
    </row>
    <row r="136" spans="5:8" s="1" customFormat="1" ht="19.95" customHeight="1" x14ac:dyDescent="0.25">
      <c r="F136" s="4"/>
      <c r="G136" s="4"/>
      <c r="H136" s="4"/>
    </row>
    <row r="137" spans="5:8" s="1" customFormat="1" ht="19.95" customHeight="1" x14ac:dyDescent="0.25">
      <c r="F137" s="4"/>
      <c r="G137" s="4"/>
      <c r="H137" s="4"/>
    </row>
    <row r="138" spans="5:8" s="1" customFormat="1" ht="19.95" customHeight="1" x14ac:dyDescent="0.25">
      <c r="F138" s="4"/>
      <c r="G138" s="4"/>
      <c r="H138" s="4"/>
    </row>
    <row r="139" spans="5:8" s="1" customFormat="1" ht="19.95" customHeight="1" x14ac:dyDescent="0.25">
      <c r="F139" s="4"/>
      <c r="G139" s="4"/>
      <c r="H139" s="4"/>
    </row>
    <row r="140" spans="5:8" s="1" customFormat="1" ht="19.95" customHeight="1" x14ac:dyDescent="0.25">
      <c r="F140" s="4"/>
      <c r="G140" s="4"/>
      <c r="H140" s="4"/>
    </row>
    <row r="141" spans="5:8" s="1" customFormat="1" ht="19.95" customHeight="1" x14ac:dyDescent="0.25">
      <c r="F141" s="4"/>
      <c r="G141" s="4"/>
      <c r="H141" s="4"/>
    </row>
    <row r="142" spans="5:8" s="1" customFormat="1" ht="19.95" customHeight="1" x14ac:dyDescent="0.25">
      <c r="F142" s="4"/>
      <c r="G142" s="4"/>
      <c r="H142" s="4"/>
    </row>
    <row r="143" spans="5:8" s="1" customFormat="1" ht="19.95" customHeight="1" x14ac:dyDescent="0.25">
      <c r="F143" s="5"/>
      <c r="G143" s="5"/>
      <c r="H143" s="5"/>
    </row>
    <row r="144" spans="5:8" s="1" customFormat="1" ht="19.95" customHeight="1" x14ac:dyDescent="0.25">
      <c r="F144" s="4"/>
      <c r="G144" s="4"/>
      <c r="H144" s="4"/>
    </row>
    <row r="145" spans="1:8" s="1" customFormat="1" ht="19.95" customHeight="1" x14ac:dyDescent="0.25">
      <c r="F145" s="4"/>
      <c r="G145" s="4"/>
      <c r="H145" s="4"/>
    </row>
    <row r="146" spans="1:8" s="1" customFormat="1" ht="19.95" customHeight="1" x14ac:dyDescent="0.25">
      <c r="E146" s="4"/>
      <c r="F146" s="4"/>
      <c r="G146" s="4">
        <f>SUM(G19:G143)</f>
        <v>0</v>
      </c>
      <c r="H146" s="4"/>
    </row>
    <row r="147" spans="1:8" s="1" customFormat="1" ht="19.95" customHeight="1" x14ac:dyDescent="0.25">
      <c r="E147" s="4"/>
      <c r="F147" s="2"/>
      <c r="G147" s="2"/>
      <c r="H147" s="2"/>
    </row>
    <row r="148" spans="1:8" ht="19.95" customHeight="1" x14ac:dyDescent="0.25">
      <c r="E148" s="3"/>
    </row>
    <row r="149" spans="1:8" s="1" customFormat="1" ht="19.95" customHeight="1" x14ac:dyDescent="0.25">
      <c r="A149" s="1" t="s">
        <v>89</v>
      </c>
      <c r="B149" s="1" t="s">
        <v>433</v>
      </c>
      <c r="C149" s="1">
        <f>圆谱自愿捐款及筹款!N148+G146</f>
        <v>182500</v>
      </c>
    </row>
  </sheetData>
  <sortState xmlns:xlrd2="http://schemas.microsoft.com/office/spreadsheetml/2017/richdata2" ref="A3:E153">
    <sortCondition descending="1" ref="C137"/>
  </sortState>
  <phoneticPr fontId="2" type="noConversion"/>
  <pageMargins left="0.66874999999999996" right="0.55069444444444404" top="0.66874999999999996" bottom="0.78680555555555598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圆谱自愿捐款及筹款</vt:lpstr>
      <vt:lpstr>外来宗亲助款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P13685877064@outlook.com</cp:lastModifiedBy>
  <dcterms:created xsi:type="dcterms:W3CDTF">2023-05-12T11:23:00Z</dcterms:created>
  <dcterms:modified xsi:type="dcterms:W3CDTF">2026-06-15T15:58:44Z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2FDCB192019249CB80C85990C6EDBF13_13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